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P:\DNA LAB\PGD\New test development\Cyto SNP array POP\Yourgene\Graeme\spreadsheet_template\"/>
    </mc:Choice>
  </mc:AlternateContent>
  <bookViews>
    <workbookView xWindow="0" yWindow="0" windowWidth="14400" windowHeight="5700"/>
  </bookViews>
  <sheets>
    <sheet name="data_entry" sheetId="1" r:id="rId1"/>
    <sheet name="Precase" sheetId="3" r:id="rId2"/>
    <sheet name="Case" sheetId="4" r:id="rId3"/>
    <sheet name="Sequencing" sheetId="5" r:id="rId4"/>
    <sheet name="SizeSeparation" sheetId="6" r:id="rId5"/>
    <sheet name="ARMS" sheetId="7" r:id="rId6"/>
    <sheet name="data_validation" sheetId="2" r:id="rId7"/>
  </sheets>
  <definedNames>
    <definedName name="biopsy_number">data_entry!$B$9</definedName>
    <definedName name="chromosome">data_entry!$B$31</definedName>
    <definedName name="consanguineous">data_entry!$H$15</definedName>
    <definedName name="de_novo">data_entry!$H$17</definedName>
    <definedName name="disease">data_entry!$F$22:$F$22:'data_entry'!$L$22</definedName>
    <definedName name="disease_omim">data_entry!$M$22:$N$22</definedName>
    <definedName name="embryo_data">data_entry!$Q$4:$T$28</definedName>
    <definedName name="exclusion">data_entry!$M$17</definedName>
    <definedName name="female_partner_hosp_num">data_entry!$B$15</definedName>
    <definedName name="flanking_region_size">data_entry!$B$35</definedName>
    <definedName name="gene">data_entry!$B$27</definedName>
    <definedName name="gene_end">data_entry!$C$33</definedName>
    <definedName name="gene_omim">data_entry!$C$27</definedName>
    <definedName name="gene_start">data_entry!$B$33</definedName>
    <definedName name="input_file">data_entry!$B$7</definedName>
    <definedName name="maternal_mutation">data_entry!$B$20</definedName>
    <definedName name="mode_of_inheritance">data_entry!$B$3</definedName>
    <definedName name="multi_analysis">data_entry!$B$18</definedName>
    <definedName name="partner1_details">data_entry!$G$4:$M$4</definedName>
    <definedName name="partner2_details">data_entry!$G$6:$M$6</definedName>
    <definedName name="paste_gene">data_entry!$B$29</definedName>
    <definedName name="paternal_mutation">data_entry!$B$21</definedName>
    <definedName name="pgd_worksheet">data_entry!$B$5</definedName>
    <definedName name="pgd_worksheet_denovo">data_entry!$B$16</definedName>
    <definedName name="pru">data_entry!$B$14</definedName>
    <definedName name="ref_relationship">data_entry!$H$12</definedName>
    <definedName name="ref_relationship_to_couple">data_entry!$H$13</definedName>
    <definedName name="ref_seq">data_entry!$B$22</definedName>
    <definedName name="ref_status">data_entry!$H$11</definedName>
    <definedName name="reference">data_entry!$H$8:$M$8</definedName>
    <definedName name="template_version">data_entry!$B$38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5" i="2" l="1" a="1"/>
  <c r="O15" i="2" s="1"/>
  <c r="O6" i="2" a="1"/>
  <c r="O6" i="2" s="1"/>
  <c r="O2" i="2" a="1"/>
  <c r="O2" i="2" s="1"/>
  <c r="O9" i="2" a="1"/>
  <c r="O11" i="2" s="1"/>
  <c r="L4" i="2"/>
  <c r="C33" i="1"/>
  <c r="B33" i="1"/>
  <c r="B31" i="1"/>
  <c r="W16" i="4"/>
  <c r="V16" i="4"/>
  <c r="W15" i="4"/>
  <c r="V15" i="4"/>
  <c r="W14" i="4"/>
  <c r="V14" i="4"/>
  <c r="W13" i="4"/>
  <c r="V13" i="4"/>
  <c r="W12" i="4"/>
  <c r="V12" i="4"/>
  <c r="W11" i="4"/>
  <c r="V11" i="4"/>
  <c r="W10" i="4"/>
  <c r="V10" i="4"/>
  <c r="W9" i="4"/>
  <c r="V9" i="4"/>
  <c r="W8" i="4"/>
  <c r="V8" i="4"/>
  <c r="W7" i="4"/>
  <c r="V7" i="4"/>
  <c r="W6" i="4"/>
  <c r="V6" i="4"/>
  <c r="W5" i="4"/>
  <c r="V5" i="4"/>
  <c r="W4" i="4"/>
  <c r="V4" i="4"/>
  <c r="W3" i="4"/>
  <c r="V3" i="4"/>
  <c r="L17" i="1"/>
  <c r="O4" i="2" l="1"/>
  <c r="O12" i="2"/>
  <c r="O10" i="2"/>
  <c r="O16" i="2"/>
  <c r="O7" i="2"/>
  <c r="O13" i="2"/>
  <c r="O9" i="2"/>
  <c r="O3" i="2"/>
  <c r="O17" i="2"/>
</calcChain>
</file>

<file path=xl/comments1.xml><?xml version="1.0" encoding="utf-8"?>
<comments xmlns="http://schemas.openxmlformats.org/spreadsheetml/2006/main">
  <authors>
    <author>Graeme Smith</author>
  </authors>
  <commentList>
    <comment ref="Q3" authorId="0" shapeId="0">
      <text>
        <r>
          <rPr>
            <sz val="11"/>
            <color theme="1"/>
            <rFont val="Calibri"/>
            <family val="2"/>
            <scheme val="minor"/>
          </rPr>
          <t>Graeme Smith:
Biopsy Number is Unique for each cycle</t>
        </r>
      </text>
    </comment>
    <comment ref="R3" authorId="0" shapeId="0">
      <text>
        <r>
          <rPr>
            <sz val="11"/>
            <color theme="1"/>
            <rFont val="Calibri"/>
            <family val="2"/>
            <scheme val="minor"/>
          </rPr>
          <t>Graeme Smith:
In the format:
7AS_E1
7AS_E11</t>
        </r>
      </text>
    </comment>
    <comment ref="T3" authorId="0" shapeId="0">
      <text>
        <r>
          <rPr>
            <sz val="11"/>
            <color theme="1"/>
            <rFont val="Calibri"/>
            <family val="2"/>
            <scheme val="minor"/>
          </rPr>
          <t>Graeme Smith:
Column name relating to the embryo from the input txt file.</t>
        </r>
      </text>
    </comment>
    <comment ref="B5" authorId="0" shapeId="0">
      <text>
        <r>
          <rPr>
            <sz val="11"/>
            <color theme="1"/>
            <rFont val="Calibri"/>
            <family val="2"/>
            <scheme val="minor"/>
          </rPr>
          <t>Format: PGD0000</t>
        </r>
      </text>
    </comment>
    <comment ref="A7" authorId="0" shapeId="0">
      <text>
        <r>
          <rPr>
            <sz val="11"/>
            <color theme="1"/>
            <rFont val="Calibri"/>
            <family val="2"/>
            <scheme val="minor"/>
          </rPr>
          <t>Name of the text file to be processed.  Files use have no suffix such as txt.</t>
        </r>
      </text>
    </comment>
    <comment ref="A9" authorId="0" shapeId="0">
      <text>
        <r>
          <rPr>
            <sz val="11"/>
            <color theme="1"/>
            <rFont val="Calibri"/>
            <family val="2"/>
            <scheme val="minor"/>
          </rPr>
          <t>Multiple Biopsy Numbers may be entered in the 'Embryo Data' section representing different cycles, ONLY THE BIOPSY NUMBER HERE WILL BE INCLUDED IN THIS ANALYSIS</t>
        </r>
      </text>
    </comment>
    <comment ref="G13" authorId="0" shapeId="0">
      <text>
        <r>
          <rPr>
            <sz val="11"/>
            <color theme="1"/>
            <rFont val="Calibri"/>
            <family val="2"/>
            <scheme val="minor"/>
          </rPr>
          <t>The Reference relationship is measured from the relevant partner i.e. the embryo's grandfather would be recorded as 'father' in this field as this is the relationship to the relevant partner.</t>
        </r>
      </text>
    </comment>
    <comment ref="B14" authorId="0" shapeId="0">
      <text>
        <r>
          <rPr>
            <sz val="11"/>
            <color theme="1"/>
            <rFont val="Calibri"/>
            <family val="2"/>
            <scheme val="minor"/>
          </rPr>
          <t xml:space="preserve">Graeme Smith:
</t>
        </r>
      </text>
    </comment>
    <comment ref="B16" authorId="0" shapeId="0">
      <text>
        <r>
          <rPr>
            <sz val="11"/>
            <color theme="1"/>
            <rFont val="Calibri"/>
            <family val="2"/>
            <scheme val="minor"/>
          </rPr>
          <t>Graeme Smith:
seq/sizesep suffix</t>
        </r>
      </text>
    </comment>
    <comment ref="A18" authorId="0" shapeId="0">
      <text>
        <r>
          <rPr>
            <sz val="11"/>
            <color theme="1"/>
            <rFont val="Calibri"/>
            <family val="2"/>
            <scheme val="minor"/>
          </rPr>
          <t>Graeme Smith:
If pateint requires multiple analyses for different genes/modes of inheritance then a separate excel file will have to be created for each one.</t>
        </r>
      </text>
    </comment>
    <comment ref="B29" authorId="0" shapeId="0">
      <text>
        <r>
          <rPr>
            <sz val="11"/>
            <color theme="1"/>
            <rFont val="Calibri"/>
            <family val="2"/>
            <scheme val="minor"/>
          </rPr>
          <t>Paste co-ordinates in the format chr1:1,234,570-1,234,870 to auto populate the fields below.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<sst xmlns="http://schemas.openxmlformats.org/spreadsheetml/2006/main" count="397" uniqueCount="246">
  <si>
    <t>Meta Data</t>
  </si>
  <si>
    <t>Sample Data</t>
  </si>
  <si>
    <t>Embryo Data</t>
  </si>
  <si>
    <t>Mode of Inheritance</t>
  </si>
  <si>
    <t>Autosomal_Dominant</t>
  </si>
  <si>
    <t>Sample Type:</t>
  </si>
  <si>
    <t>Sex:</t>
  </si>
  <si>
    <t>Forename:</t>
  </si>
  <si>
    <t>Surname:</t>
  </si>
  <si>
    <t>DOB:</t>
  </si>
  <si>
    <t>DNA No:</t>
  </si>
  <si>
    <t>Column Name:</t>
  </si>
  <si>
    <t>Biopsy No:</t>
  </si>
  <si>
    <t>Embryo ID:</t>
  </si>
  <si>
    <t>PGD worksheet:</t>
  </si>
  <si>
    <t>Input File Name:</t>
  </si>
  <si>
    <t>Biopsy No for analysis:</t>
  </si>
  <si>
    <t>Samples with above Biopsy Number are run through the script</t>
  </si>
  <si>
    <t>Reference Details:</t>
  </si>
  <si>
    <t>ref_status:</t>
  </si>
  <si>
    <t>Additional Data</t>
  </si>
  <si>
    <t>ref_relationship:</t>
  </si>
  <si>
    <t>ref_relationship_to_couple:</t>
  </si>
  <si>
    <t>PRU No: (family)</t>
  </si>
  <si>
    <t>Female partner hosp num:</t>
  </si>
  <si>
    <t>consanguineous:</t>
  </si>
  <si>
    <t>PGD worksheet (de novo)</t>
  </si>
  <si>
    <t>Multiple analysis for this patient?</t>
  </si>
  <si>
    <t>Maternal mutation:</t>
  </si>
  <si>
    <t>Paternal mutation:</t>
  </si>
  <si>
    <t>Name:</t>
  </si>
  <si>
    <t>Reference Seq:</t>
  </si>
  <si>
    <t>Disease:</t>
  </si>
  <si>
    <t>Gene of Interest</t>
  </si>
  <si>
    <t>Gene OMIM:</t>
  </si>
  <si>
    <t>Gene of Interest:</t>
  </si>
  <si>
    <t>Paste Genome Coordinate</t>
  </si>
  <si>
    <t>Chromosome:</t>
  </si>
  <si>
    <t>Start</t>
  </si>
  <si>
    <t>End</t>
  </si>
  <si>
    <t>Genomic_range (GRCh38):</t>
  </si>
  <si>
    <t>SNP array analysis checklist</t>
  </si>
  <si>
    <t>SNP array run</t>
  </si>
  <si>
    <t>PRU #</t>
  </si>
  <si>
    <t>Patient Surname</t>
  </si>
  <si>
    <t>Patient Forename</t>
  </si>
  <si>
    <t>DNA #</t>
  </si>
  <si>
    <r>
      <t xml:space="preserve">Genotyping QC call rate </t>
    </r>
    <r>
      <rPr>
        <b/>
        <sz val="10"/>
        <color theme="1"/>
        <rFont val="Calibri"/>
        <family val="2"/>
      </rPr>
      <t>≥</t>
    </r>
    <r>
      <rPr>
        <b/>
        <sz val="10"/>
        <color theme="1"/>
        <rFont val="Arial"/>
        <family val="2"/>
      </rPr>
      <t>97.5</t>
    </r>
  </si>
  <si>
    <t>Genotyping DQC ≥0.88</t>
  </si>
  <si>
    <r>
      <t xml:space="preserve">Copy number MAPD </t>
    </r>
    <r>
      <rPr>
        <b/>
        <sz val="10"/>
        <rFont val="Calibri"/>
        <family val="2"/>
      </rPr>
      <t>≤</t>
    </r>
    <r>
      <rPr>
        <b/>
        <sz val="10"/>
        <rFont val="Arial"/>
        <family val="2"/>
      </rPr>
      <t>0.28</t>
    </r>
  </si>
  <si>
    <t>Copy number SNP QC ≥10</t>
  </si>
  <si>
    <t>Sufficient informative SNPs (&gt;10 for each risk per 2Mb flank)</t>
  </si>
  <si>
    <t>CHAS Gender</t>
  </si>
  <si>
    <t>Operator</t>
  </si>
  <si>
    <t>Reg checker</t>
  </si>
  <si>
    <t>Precase</t>
  </si>
  <si>
    <t>Initials</t>
  </si>
  <si>
    <t>Date</t>
  </si>
  <si>
    <t>Family analysis created</t>
  </si>
  <si>
    <t>RHAS analysis completed</t>
  </si>
  <si>
    <t>Genotypes exported from MSV</t>
  </si>
  <si>
    <t>Sample gender checked in ChAS</t>
  </si>
  <si>
    <t>QC call rate/other QC metrics recorded</t>
  </si>
  <si>
    <t>Precase SNP haplotypes scored</t>
  </si>
  <si>
    <t>Non-WISE reporting</t>
  </si>
  <si>
    <t>BASH Results PDF generated and saved</t>
  </si>
  <si>
    <t>GeneWorks report created and checked</t>
  </si>
  <si>
    <t>Key</t>
  </si>
  <si>
    <r>
      <t xml:space="preserve">BASH: </t>
    </r>
    <r>
      <rPr>
        <b/>
        <sz val="10"/>
        <rFont val="Arial"/>
        <family val="2"/>
      </rPr>
      <t>B</t>
    </r>
    <r>
      <rPr>
        <sz val="10"/>
        <rFont val="Arial"/>
        <family val="2"/>
      </rPr>
      <t>i-</t>
    </r>
    <r>
      <rPr>
        <b/>
        <sz val="10"/>
        <rFont val="Arial"/>
        <family val="2"/>
      </rPr>
      <t>A</t>
    </r>
    <r>
      <rPr>
        <sz val="10"/>
        <rFont val="Arial"/>
        <family val="2"/>
      </rPr>
      <t xml:space="preserve">llelic </t>
    </r>
    <r>
      <rPr>
        <b/>
        <sz val="10"/>
        <rFont val="Arial"/>
        <family val="2"/>
      </rPr>
      <t>S</t>
    </r>
    <r>
      <rPr>
        <sz val="10"/>
        <rFont val="Arial"/>
        <family val="2"/>
      </rPr>
      <t xml:space="preserve">NP </t>
    </r>
    <r>
      <rPr>
        <b/>
        <sz val="10"/>
        <rFont val="Arial"/>
        <family val="2"/>
      </rPr>
      <t>H</t>
    </r>
    <r>
      <rPr>
        <sz val="10"/>
        <rFont val="Arial"/>
        <family val="2"/>
      </rPr>
      <t>aplotypes</t>
    </r>
  </si>
  <si>
    <t>..\..\..\..\Current\PGD\pgd results\SNP array\Genotyping data from MSV &amp; ChAS detail view exports</t>
  </si>
  <si>
    <t>Report</t>
  </si>
  <si>
    <t>Comments</t>
  </si>
  <si>
    <t>Biopsy #</t>
  </si>
  <si>
    <t>Embryo Spec number</t>
  </si>
  <si>
    <t>Embryo #</t>
  </si>
  <si>
    <t>Embryo sample ID</t>
  </si>
  <si>
    <t>PGT-M results</t>
  </si>
  <si>
    <t>PGT-A results  Log2,BAF,Allele difference</t>
  </si>
  <si>
    <t>Direct test results</t>
  </si>
  <si>
    <t>Manual inspection required for further SNPs</t>
  </si>
  <si>
    <t>Embryo status</t>
  </si>
  <si>
    <t>Embryo</t>
  </si>
  <si>
    <t>Biopsy diagnosis</t>
  </si>
  <si>
    <t>Suitable for transfer</t>
  </si>
  <si>
    <t>Case</t>
  </si>
  <si>
    <t>Embryos analysed RHAS &amp; CHAS</t>
  </si>
  <si>
    <t>Embryos results entered  RHAS &amp; CHAS</t>
  </si>
  <si>
    <t>First scorer</t>
  </si>
  <si>
    <t>Reg scorer</t>
  </si>
  <si>
    <t>Reporting</t>
  </si>
  <si>
    <t>PGD case #:</t>
  </si>
  <si>
    <t>Batch sequencing run: BS</t>
  </si>
  <si>
    <t xml:space="preserve">      </t>
  </si>
  <si>
    <t>Headers/footers to update</t>
  </si>
  <si>
    <t>Instructions:</t>
  </si>
  <si>
    <t>PRU #:</t>
  </si>
  <si>
    <r>
      <rPr>
        <sz val="11"/>
        <rFont val="Arial"/>
        <family val="2"/>
      </rPr>
      <t>First scorer: complete</t>
    </r>
    <r>
      <rPr>
        <sz val="11"/>
        <color rgb="FFFF0000"/>
        <rFont val="Arial"/>
        <family val="2"/>
      </rPr>
      <t xml:space="preserve"> </t>
    </r>
    <r>
      <rPr>
        <sz val="11"/>
        <color rgb="FF0000FF"/>
        <rFont val="Arial"/>
        <family val="2"/>
      </rPr>
      <t xml:space="preserve">blue boxes </t>
    </r>
    <r>
      <rPr>
        <sz val="11"/>
        <rFont val="Arial"/>
        <family val="2"/>
      </rPr>
      <t>and sample names</t>
    </r>
  </si>
  <si>
    <t>ACU #:</t>
  </si>
  <si>
    <t>ABI files saved in: P:\DNA LAB\Current\Batched Sequencing Files</t>
  </si>
  <si>
    <r>
      <t xml:space="preserve">First scorer: score samples then hide columns </t>
    </r>
    <r>
      <rPr>
        <b/>
        <sz val="11"/>
        <rFont val="Arial"/>
        <family val="2"/>
      </rPr>
      <t xml:space="preserve">D to F </t>
    </r>
  </si>
  <si>
    <t>MDA date:</t>
  </si>
  <si>
    <r>
      <t xml:space="preserve">Registered scorer: score samples then unhide columns </t>
    </r>
    <r>
      <rPr>
        <b/>
        <sz val="11"/>
        <rFont val="Arial"/>
        <family val="2"/>
      </rPr>
      <t>D to F</t>
    </r>
    <r>
      <rPr>
        <sz val="11"/>
        <rFont val="Arial"/>
        <family val="2"/>
      </rPr>
      <t xml:space="preserve"> and check first score</t>
    </r>
  </si>
  <si>
    <t>Quality key: 2 – good (F and/or R), 1 – sufficient quality, 0 - no amplification</t>
  </si>
  <si>
    <t>Registered scorer: decide which embryos to run on SNP arrays</t>
  </si>
  <si>
    <t>Gene:</t>
  </si>
  <si>
    <t>F refers to F_Synthesis and R refers to R_Synthesis</t>
  </si>
  <si>
    <t>Mutation:</t>
  </si>
  <si>
    <t>First score</t>
  </si>
  <si>
    <t>Registered score</t>
  </si>
  <si>
    <t>Proceed to SNP array?</t>
  </si>
  <si>
    <t>Sample Ref (Spec#.embryo#)</t>
  </si>
  <si>
    <t>Result</t>
  </si>
  <si>
    <t>Quality</t>
  </si>
  <si>
    <t xml:space="preserve"> Positive control:</t>
  </si>
  <si>
    <t>Enter DNA#.Name here</t>
  </si>
  <si>
    <t>PCR neg</t>
  </si>
  <si>
    <t>Results by:</t>
  </si>
  <si>
    <t>Decision by:</t>
  </si>
  <si>
    <t>Date:</t>
  </si>
  <si>
    <t>Checked by:</t>
  </si>
  <si>
    <t>Date of ABI/agarose gel run:</t>
  </si>
  <si>
    <t>Quality key: 2 – good quality, 1 – sufficient quality, 0 - no amplification</t>
  </si>
  <si>
    <t>Male partner:</t>
  </si>
  <si>
    <t>Female partner:</t>
  </si>
  <si>
    <t>Instructions: First scorer</t>
  </si>
  <si>
    <t>HBB</t>
  </si>
  <si>
    <r>
      <rPr>
        <sz val="11"/>
        <rFont val="Arial"/>
        <family val="2"/>
      </rPr>
      <t>Complete</t>
    </r>
    <r>
      <rPr>
        <sz val="11"/>
        <color rgb="FFFF0000"/>
        <rFont val="Arial"/>
        <family val="2"/>
      </rPr>
      <t xml:space="preserve"> </t>
    </r>
    <r>
      <rPr>
        <sz val="11"/>
        <color rgb="FF0000FF"/>
        <rFont val="Arial"/>
        <family val="2"/>
      </rPr>
      <t xml:space="preserve">blue boxes </t>
    </r>
    <r>
      <rPr>
        <sz val="11"/>
        <rFont val="Arial"/>
        <family val="2"/>
      </rPr>
      <t>and sample names</t>
    </r>
  </si>
  <si>
    <t>ARMS testing:</t>
  </si>
  <si>
    <t>Score samples using dropdown list and controls using check boxes/dropdown (tick to indicate presence of fragment/0 - no amplification, 1 - low level amplification/low background, 2 - good amplification)</t>
  </si>
  <si>
    <t>Grey out any rows/columns not required, e.g. HbC scoring</t>
  </si>
  <si>
    <t>GeneMarker projects saved in: P:\DNA LAB\Current\PGD\pgd results\PGD Cases</t>
  </si>
  <si>
    <r>
      <t xml:space="preserve">Hide columns </t>
    </r>
    <r>
      <rPr>
        <b/>
        <sz val="11"/>
        <rFont val="Arial"/>
        <family val="2"/>
      </rPr>
      <t>D to J</t>
    </r>
  </si>
  <si>
    <t>Instructions: Registered scorer</t>
  </si>
  <si>
    <t>Results</t>
  </si>
  <si>
    <r>
      <t xml:space="preserve">Unhide columns </t>
    </r>
    <r>
      <rPr>
        <b/>
        <sz val="11"/>
        <color theme="1"/>
        <rFont val="Arial"/>
        <family val="2"/>
      </rPr>
      <t>D to J</t>
    </r>
    <r>
      <rPr>
        <sz val="11"/>
        <color theme="1"/>
        <rFont val="Arial"/>
        <family val="2"/>
      </rPr>
      <t xml:space="preserve"> and check first score</t>
    </r>
  </si>
  <si>
    <t>Control fragment</t>
  </si>
  <si>
    <t xml:space="preserve">Allele 1 </t>
  </si>
  <si>
    <t>Allele 2</t>
  </si>
  <si>
    <t>HbA</t>
  </si>
  <si>
    <t>HbS</t>
  </si>
  <si>
    <t>HbC</t>
  </si>
  <si>
    <t>HbA ARMS PCR</t>
  </si>
  <si>
    <t>HbS ARMS PCR</t>
  </si>
  <si>
    <t>HbC ARMS PCR</t>
  </si>
  <si>
    <t>Control sample</t>
  </si>
  <si>
    <t>Control frag</t>
  </si>
  <si>
    <t>HbAA</t>
  </si>
  <si>
    <t>HbAS</t>
  </si>
  <si>
    <t>HbSS</t>
  </si>
  <si>
    <t>HbAC</t>
  </si>
  <si>
    <t>HbSC</t>
  </si>
  <si>
    <t>Male</t>
  </si>
  <si>
    <t>Carrier (XL)</t>
  </si>
  <si>
    <t>grandfather</t>
  </si>
  <si>
    <t>maternal</t>
  </si>
  <si>
    <t>X-Linked</t>
  </si>
  <si>
    <t>Autosomal_Recessive</t>
  </si>
  <si>
    <t>Yes</t>
  </si>
  <si>
    <t>GRCh38</t>
  </si>
  <si>
    <t>Purpose</t>
  </si>
  <si>
    <t>Formula</t>
  </si>
  <si>
    <t>Female</t>
  </si>
  <si>
    <t>Affected</t>
  </si>
  <si>
    <t>grandmother</t>
  </si>
  <si>
    <t>paternal</t>
  </si>
  <si>
    <t>No</t>
  </si>
  <si>
    <t>GRCh37</t>
  </si>
  <si>
    <t>return permitted sex per mode of inheritance</t>
  </si>
  <si>
    <t>Unknown</t>
  </si>
  <si>
    <t>Unaffected</t>
  </si>
  <si>
    <t>cousin</t>
  </si>
  <si>
    <t>Ref Sex</t>
  </si>
  <si>
    <t>uncle</t>
  </si>
  <si>
    <t>--&gt;</t>
  </si>
  <si>
    <t>aunt</t>
  </si>
  <si>
    <t>reference status</t>
  </si>
  <si>
    <t>Status</t>
  </si>
  <si>
    <t>Carrier(XL)</t>
  </si>
  <si>
    <t xml:space="preserve">Unaffected </t>
  </si>
  <si>
    <t>Relation</t>
  </si>
  <si>
    <t>Father</t>
  </si>
  <si>
    <t>Son</t>
  </si>
  <si>
    <t>Mother</t>
  </si>
  <si>
    <t>Daughter</t>
  </si>
  <si>
    <t>Prenatal</t>
  </si>
  <si>
    <t>Relationship</t>
  </si>
  <si>
    <t>female_partner</t>
  </si>
  <si>
    <t>both</t>
  </si>
  <si>
    <t>male_partner</t>
  </si>
  <si>
    <t xml:space="preserve">AR </t>
  </si>
  <si>
    <t>AD</t>
  </si>
  <si>
    <t>x-linked</t>
  </si>
  <si>
    <t>X</t>
  </si>
  <si>
    <t>Never unknown for partners sex</t>
  </si>
  <si>
    <t>Y</t>
  </si>
  <si>
    <t>Reference - AR - will never be carrier</t>
  </si>
  <si>
    <t>Reference - AD - will never be carrier</t>
  </si>
  <si>
    <t>Reference - always to the carrier female</t>
  </si>
  <si>
    <t>AR - reference - always a child/prenatal</t>
  </si>
  <si>
    <t>Relationship to affected partner</t>
  </si>
  <si>
    <t>father</t>
  </si>
  <si>
    <t>AR reference always child - dropdown child/prenatal/embryo</t>
  </si>
  <si>
    <t>mother</t>
  </si>
  <si>
    <t>Maternal/Paternal always child so not required</t>
  </si>
  <si>
    <t>son</t>
  </si>
  <si>
    <t>daughter</t>
  </si>
  <si>
    <t>Maternal - reference always Mat</t>
  </si>
  <si>
    <t>embryo</t>
  </si>
  <si>
    <t>Add box for Exclusion</t>
  </si>
  <si>
    <t>biopsy_number</t>
  </si>
  <si>
    <t>chromosome</t>
  </si>
  <si>
    <t>consanguineous</t>
  </si>
  <si>
    <t>de_novo</t>
  </si>
  <si>
    <t>disease</t>
  </si>
  <si>
    <t>disease_omim</t>
  </si>
  <si>
    <t>embryo_data</t>
  </si>
  <si>
    <t>exclusion</t>
  </si>
  <si>
    <t>female_partner_hosp_num</t>
  </si>
  <si>
    <t>gene</t>
  </si>
  <si>
    <t>gene_end</t>
  </si>
  <si>
    <t>gene_omim</t>
  </si>
  <si>
    <t>gene_start</t>
  </si>
  <si>
    <t>input_file</t>
  </si>
  <si>
    <t>maternal_mutation</t>
  </si>
  <si>
    <t>mode_of_inheritance</t>
  </si>
  <si>
    <t>mult_analysis</t>
  </si>
  <si>
    <t>partner_details</t>
  </si>
  <si>
    <t>paste_gene</t>
  </si>
  <si>
    <t>paternal_mutation</t>
  </si>
  <si>
    <t>pgd_worksheet</t>
  </si>
  <si>
    <t>pgd_worksheet_denovo</t>
  </si>
  <si>
    <t>pru</t>
  </si>
  <si>
    <t>ref_relationship</t>
  </si>
  <si>
    <t>ref_relationship_to_couple</t>
  </si>
  <si>
    <t>ref_seq</t>
  </si>
  <si>
    <t>ref_status</t>
  </si>
  <si>
    <t>reference</t>
  </si>
  <si>
    <t>Disease OMIM:</t>
  </si>
  <si>
    <t>Template_version:</t>
  </si>
  <si>
    <t>Size, Flanking Region:</t>
  </si>
  <si>
    <t>MB</t>
  </si>
  <si>
    <t>(Default = 2MB)</t>
  </si>
  <si>
    <t>Reference:</t>
  </si>
  <si>
    <t>v1.6</t>
  </si>
  <si>
    <t>de novo:</t>
  </si>
  <si>
    <t>Embryo Sex: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</si>
</sst>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44444"/>
      <name val="Calibri"/>
      <family val="2"/>
      <charset val="1"/>
    </font>
    <font>
      <b/>
      <sz val="11"/>
      <color rgb="FFFFFFFF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1"/>
      <color rgb="FF0000FF"/>
      <name val="Arial"/>
      <family val="2"/>
    </font>
    <font>
      <b/>
      <sz val="11"/>
      <name val="Arial"/>
      <family val="2"/>
    </font>
    <font>
      <b/>
      <sz val="11"/>
      <name val="Arial"/>
      <family val="2"/>
    </font>
    <font>
      <b/>
      <sz val="11"/>
      <color rgb="FF00B050"/>
      <name val="Arial"/>
      <family val="2"/>
    </font>
    <font>
      <b/>
      <sz val="11"/>
      <color rgb="FFFF0000"/>
      <name val="Arial"/>
      <family val="2"/>
    </font>
    <font>
      <b/>
      <sz val="11"/>
      <color rgb="FF0000FF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color theme="1"/>
      <name val="Arial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A9D08E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F0000"/>
        <bgColor indexed="64"/>
      </patternFill>
    </fill>
  </fills>
  <borders count="6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rgb="FFFF0000"/>
      </top>
      <bottom style="thin">
        <color rgb="FF000000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276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2" borderId="0" xfId="0" applyFill="1"/>
    <xf numFmtId="0" fontId="1" fillId="11" borderId="0" xfId="0" applyFont="1" applyFill="1"/>
    <xf numFmtId="0" fontId="0" fillId="12" borderId="0" xfId="0" applyFill="1"/>
    <xf numFmtId="0" fontId="0" fillId="0" borderId="0" xfId="0" applyAlignment="1">
      <alignment vertical="center"/>
    </xf>
    <xf numFmtId="0" fontId="3" fillId="0" borderId="0" xfId="0" quotePrefix="1" applyFont="1"/>
    <xf numFmtId="0" fontId="6" fillId="0" borderId="0" xfId="0" applyFont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right" vertical="center"/>
    </xf>
    <xf numFmtId="49" fontId="7" fillId="0" borderId="9" xfId="0" applyNumberFormat="1" applyFont="1" applyBorder="1" applyAlignment="1" applyProtection="1">
      <alignment horizontal="left"/>
      <protection locked="0"/>
    </xf>
    <xf numFmtId="0" fontId="6" fillId="0" borderId="0" xfId="0" applyFont="1"/>
    <xf numFmtId="49" fontId="7" fillId="0" borderId="9" xfId="0" applyNumberFormat="1" applyFont="1" applyBorder="1" applyAlignment="1" applyProtection="1">
      <alignment horizontal="left" vertical="center"/>
      <protection locked="0"/>
    </xf>
    <xf numFmtId="0" fontId="7" fillId="11" borderId="0" xfId="0" applyFont="1" applyFill="1"/>
    <xf numFmtId="0" fontId="7" fillId="11" borderId="0" xfId="0" applyFont="1" applyFill="1" applyAlignment="1" applyProtection="1">
      <alignment horizontal="left" vertical="center"/>
      <protection locked="0"/>
    </xf>
    <xf numFmtId="0" fontId="7" fillId="15" borderId="0" xfId="0" applyFont="1" applyFill="1" applyAlignment="1">
      <alignment horizontal="center"/>
    </xf>
    <xf numFmtId="0" fontId="8" fillId="15" borderId="0" xfId="0" applyFont="1" applyFill="1"/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9" fillId="15" borderId="0" xfId="0" applyFont="1" applyFill="1"/>
    <xf numFmtId="14" fontId="7" fillId="0" borderId="9" xfId="0" applyNumberFormat="1" applyFont="1" applyBorder="1" applyAlignment="1" applyProtection="1">
      <alignment horizontal="left"/>
      <protection locked="0"/>
    </xf>
    <xf numFmtId="0" fontId="9" fillId="17" borderId="0" xfId="0" applyFont="1" applyFill="1" applyAlignment="1">
      <alignment horizontal="center"/>
    </xf>
    <xf numFmtId="0" fontId="9" fillId="17" borderId="0" xfId="0" applyFont="1" applyFill="1"/>
    <xf numFmtId="0" fontId="9" fillId="0" borderId="0" xfId="0" applyFont="1" applyAlignment="1">
      <alignment horizontal="left" vertical="center"/>
    </xf>
    <xf numFmtId="0" fontId="7" fillId="18" borderId="0" xfId="0" applyFont="1" applyFill="1" applyAlignment="1">
      <alignment horizontal="center"/>
    </xf>
    <xf numFmtId="0" fontId="7" fillId="18" borderId="0" xfId="0" applyFont="1" applyFill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7" fillId="0" borderId="21" xfId="0" applyFont="1" applyBorder="1" applyProtection="1">
      <protection locked="0"/>
    </xf>
    <xf numFmtId="0" fontId="7" fillId="0" borderId="22" xfId="0" applyFont="1" applyBorder="1" applyAlignment="1" applyProtection="1">
      <alignment horizontal="center" vertical="center" wrapText="1"/>
      <protection locked="0"/>
    </xf>
    <xf numFmtId="0" fontId="7" fillId="0" borderId="2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Protection="1"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7" fillId="0" borderId="28" xfId="0" applyFont="1" applyBorder="1" applyAlignment="1" applyProtection="1">
      <alignment horizontal="center" vertic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32" xfId="0" applyFont="1" applyBorder="1" applyAlignment="1" applyProtection="1">
      <alignment horizontal="center" vertical="center" wrapText="1"/>
      <protection locked="0"/>
    </xf>
    <xf numFmtId="0" fontId="7" fillId="0" borderId="33" xfId="0" applyFont="1" applyBorder="1" applyAlignment="1" applyProtection="1">
      <alignment horizontal="center" vertical="center"/>
      <protection locked="0"/>
    </xf>
    <xf numFmtId="0" fontId="7" fillId="0" borderId="34" xfId="0" applyFont="1" applyBorder="1" applyAlignment="1">
      <alignment horizontal="right" vertical="center"/>
    </xf>
    <xf numFmtId="0" fontId="7" fillId="0" borderId="34" xfId="0" applyFont="1" applyBorder="1" applyProtection="1">
      <protection locked="0"/>
    </xf>
    <xf numFmtId="0" fontId="7" fillId="0" borderId="35" xfId="0" applyFont="1" applyBorder="1" applyAlignment="1" applyProtection="1">
      <alignment horizontal="center" vertical="center" wrapText="1"/>
      <protection locked="0"/>
    </xf>
    <xf numFmtId="0" fontId="7" fillId="0" borderId="37" xfId="0" applyFont="1" applyBorder="1" applyAlignment="1" applyProtection="1">
      <alignment horizontal="center" vertical="center" wrapText="1"/>
      <protection locked="0"/>
    </xf>
    <xf numFmtId="0" fontId="7" fillId="0" borderId="17" xfId="0" applyFont="1" applyBorder="1" applyProtection="1">
      <protection locked="0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0" borderId="19" xfId="0" applyFont="1" applyBorder="1" applyAlignment="1" applyProtection="1">
      <alignment horizontal="center" vertical="center" wrapText="1"/>
      <protection locked="0"/>
    </xf>
    <xf numFmtId="14" fontId="7" fillId="0" borderId="5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right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21" xfId="0" applyFont="1" applyBorder="1" applyAlignment="1">
      <alignment horizontal="right" vertical="center"/>
    </xf>
    <xf numFmtId="0" fontId="6" fillId="15" borderId="0" xfId="0" applyFont="1" applyFill="1"/>
    <xf numFmtId="0" fontId="7" fillId="15" borderId="0" xfId="0" applyFont="1" applyFill="1"/>
    <xf numFmtId="0" fontId="7" fillId="0" borderId="30" xfId="0" applyFont="1" applyBorder="1" applyAlignment="1">
      <alignment horizontal="center"/>
    </xf>
    <xf numFmtId="0" fontId="6" fillId="17" borderId="0" xfId="0" applyFont="1" applyFill="1"/>
    <xf numFmtId="0" fontId="7" fillId="17" borderId="0" xfId="0" applyFont="1" applyFill="1"/>
    <xf numFmtId="0" fontId="9" fillId="0" borderId="0" xfId="0" applyFont="1"/>
    <xf numFmtId="0" fontId="7" fillId="17" borderId="0" xfId="0" applyFont="1" applyFill="1" applyAlignment="1">
      <alignment horizontal="center"/>
    </xf>
    <xf numFmtId="0" fontId="6" fillId="0" borderId="45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4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0" fontId="9" fillId="0" borderId="34" xfId="0" applyFont="1" applyBorder="1"/>
    <xf numFmtId="0" fontId="9" fillId="0" borderId="35" xfId="0" applyFont="1" applyBorder="1"/>
    <xf numFmtId="0" fontId="9" fillId="0" borderId="37" xfId="0" applyFont="1" applyBorder="1"/>
    <xf numFmtId="0" fontId="7" fillId="0" borderId="2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9" fillId="0" borderId="26" xfId="0" applyFont="1" applyBorder="1"/>
    <xf numFmtId="0" fontId="9" fillId="0" borderId="5" xfId="0" applyFont="1" applyBorder="1"/>
    <xf numFmtId="0" fontId="9" fillId="0" borderId="27" xfId="0" applyFont="1" applyBorder="1"/>
    <xf numFmtId="0" fontId="7" fillId="0" borderId="17" xfId="0" applyFont="1" applyBorder="1" applyAlignment="1" applyProtection="1">
      <alignment horizontal="center"/>
      <protection locked="0"/>
    </xf>
    <xf numFmtId="0" fontId="7" fillId="0" borderId="49" xfId="0" applyFont="1" applyBorder="1" applyAlignment="1" applyProtection="1">
      <alignment horizontal="center"/>
      <protection locked="0"/>
    </xf>
    <xf numFmtId="0" fontId="9" fillId="0" borderId="17" xfId="0" applyFont="1" applyBorder="1"/>
    <xf numFmtId="0" fontId="9" fillId="0" borderId="18" xfId="0" applyFont="1" applyBorder="1"/>
    <xf numFmtId="0" fontId="9" fillId="0" borderId="19" xfId="0" applyFont="1" applyBorder="1"/>
    <xf numFmtId="0" fontId="12" fillId="0" borderId="0" xfId="0" applyFont="1"/>
    <xf numFmtId="0" fontId="9" fillId="0" borderId="53" xfId="0" applyFont="1" applyBorder="1"/>
    <xf numFmtId="0" fontId="9" fillId="0" borderId="54" xfId="0" applyFont="1" applyBorder="1"/>
    <xf numFmtId="0" fontId="9" fillId="0" borderId="22" xfId="0" applyFont="1" applyBorder="1"/>
    <xf numFmtId="0" fontId="9" fillId="0" borderId="24" xfId="0" applyFont="1" applyBorder="1"/>
    <xf numFmtId="0" fontId="9" fillId="0" borderId="21" xfId="0" applyFont="1" applyBorder="1"/>
    <xf numFmtId="0" fontId="9" fillId="0" borderId="55" xfId="0" applyFont="1" applyBorder="1" applyProtection="1">
      <protection locked="0"/>
    </xf>
    <xf numFmtId="0" fontId="9" fillId="0" borderId="56" xfId="0" applyFont="1" applyBorder="1" applyProtection="1">
      <protection locked="0"/>
    </xf>
    <xf numFmtId="0" fontId="9" fillId="0" borderId="57" xfId="0" applyFont="1" applyBorder="1" applyProtection="1">
      <protection locked="0"/>
    </xf>
    <xf numFmtId="0" fontId="7" fillId="0" borderId="0" xfId="0" applyFont="1" applyProtection="1">
      <protection locked="0"/>
    </xf>
    <xf numFmtId="0" fontId="9" fillId="0" borderId="58" xfId="0" applyFont="1" applyBorder="1" applyProtection="1">
      <protection locked="0"/>
    </xf>
    <xf numFmtId="0" fontId="0" fillId="19" borderId="0" xfId="0" applyFill="1"/>
    <xf numFmtId="0" fontId="18" fillId="0" borderId="0" xfId="0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20" fillId="0" borderId="5" xfId="0" applyFont="1" applyBorder="1" applyAlignment="1" applyProtection="1">
      <alignment horizontal="center" vertical="center" wrapText="1"/>
      <protection locked="0"/>
    </xf>
    <xf numFmtId="0" fontId="22" fillId="0" borderId="5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24" fillId="0" borderId="5" xfId="0" applyFont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0" fontId="22" fillId="0" borderId="0" xfId="0" applyFont="1" applyProtection="1">
      <protection locked="0"/>
    </xf>
    <xf numFmtId="0" fontId="24" fillId="0" borderId="5" xfId="0" applyFont="1" applyBorder="1" applyProtection="1">
      <protection locked="0"/>
    </xf>
    <xf numFmtId="14" fontId="18" fillId="0" borderId="5" xfId="0" applyNumberFormat="1" applyFont="1" applyBorder="1" applyAlignment="1" applyProtection="1">
      <alignment horizontal="center"/>
      <protection locked="0"/>
    </xf>
    <xf numFmtId="0" fontId="24" fillId="23" borderId="5" xfId="0" applyFont="1" applyFill="1" applyBorder="1" applyAlignment="1" applyProtection="1">
      <alignment horizontal="center"/>
      <protection locked="0"/>
    </xf>
    <xf numFmtId="14" fontId="18" fillId="23" borderId="5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0" fontId="24" fillId="11" borderId="0" xfId="0" applyFont="1" applyFill="1" applyProtection="1">
      <protection locked="0"/>
    </xf>
    <xf numFmtId="0" fontId="25" fillId="0" borderId="0" xfId="0" applyFont="1" applyAlignment="1" applyProtection="1">
      <alignment horizontal="left"/>
      <protection locked="0"/>
    </xf>
    <xf numFmtId="0" fontId="26" fillId="0" borderId="0" xfId="0" applyFont="1" applyProtection="1">
      <protection locked="0"/>
    </xf>
    <xf numFmtId="0" fontId="16" fillId="11" borderId="0" xfId="1" applyFill="1" applyProtection="1">
      <protection locked="0"/>
    </xf>
    <xf numFmtId="0" fontId="20" fillId="0" borderId="0" xfId="0" applyFont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22" fillId="15" borderId="5" xfId="0" applyFont="1" applyFill="1" applyBorder="1" applyAlignment="1" applyProtection="1">
      <alignment horizontal="center" vertical="center" wrapText="1"/>
      <protection locked="0"/>
    </xf>
    <xf numFmtId="0" fontId="22" fillId="15" borderId="5" xfId="0" applyFont="1" applyFill="1" applyBorder="1" applyAlignment="1">
      <alignment horizontal="center" vertical="center" wrapText="1"/>
    </xf>
    <xf numFmtId="0" fontId="22" fillId="11" borderId="5" xfId="0" applyFont="1" applyFill="1" applyBorder="1" applyAlignment="1" applyProtection="1">
      <alignment horizontal="center" vertical="center" wrapText="1"/>
      <protection locked="0"/>
    </xf>
    <xf numFmtId="0" fontId="22" fillId="16" borderId="5" xfId="0" applyFont="1" applyFill="1" applyBorder="1" applyAlignment="1" applyProtection="1">
      <alignment horizontal="center" vertical="center" wrapText="1"/>
      <protection locked="0"/>
    </xf>
    <xf numFmtId="0" fontId="22" fillId="16" borderId="6" xfId="0" applyFont="1" applyFill="1" applyBorder="1" applyAlignment="1" applyProtection="1">
      <alignment horizontal="center" vertical="center" wrapText="1"/>
      <protection locked="0"/>
    </xf>
    <xf numFmtId="0" fontId="20" fillId="0" borderId="5" xfId="0" applyFont="1" applyBorder="1" applyAlignment="1" applyProtection="1">
      <alignment wrapText="1"/>
      <protection locked="0"/>
    </xf>
    <xf numFmtId="0" fontId="24" fillId="15" borderId="5" xfId="0" applyFont="1" applyFill="1" applyBorder="1" applyAlignment="1" applyProtection="1">
      <alignment horizontal="center"/>
      <protection locked="0"/>
    </xf>
    <xf numFmtId="0" fontId="18" fillId="15" borderId="5" xfId="0" applyFont="1" applyFill="1" applyBorder="1" applyAlignment="1" applyProtection="1">
      <alignment horizontal="center"/>
      <protection locked="0"/>
    </xf>
    <xf numFmtId="0" fontId="18" fillId="15" borderId="5" xfId="0" applyFont="1" applyFill="1" applyBorder="1"/>
    <xf numFmtId="0" fontId="18" fillId="11" borderId="5" xfId="0" applyFont="1" applyFill="1" applyBorder="1" applyAlignment="1">
      <alignment horizontal="center"/>
    </xf>
    <xf numFmtId="0" fontId="18" fillId="16" borderId="5" xfId="0" applyFont="1" applyFill="1" applyBorder="1" applyAlignment="1">
      <alignment horizontal="center"/>
    </xf>
    <xf numFmtId="0" fontId="18" fillId="16" borderId="6" xfId="0" applyFont="1" applyFill="1" applyBorder="1" applyAlignment="1">
      <alignment horizontal="center"/>
    </xf>
    <xf numFmtId="0" fontId="18" fillId="0" borderId="5" xfId="0" applyFont="1" applyBorder="1" applyProtection="1">
      <protection locked="0"/>
    </xf>
    <xf numFmtId="0" fontId="24" fillId="15" borderId="5" xfId="0" applyFont="1" applyFill="1" applyBorder="1"/>
    <xf numFmtId="0" fontId="26" fillId="0" borderId="5" xfId="0" applyFont="1" applyBorder="1" applyProtection="1">
      <protection locked="0"/>
    </xf>
    <xf numFmtId="0" fontId="26" fillId="11" borderId="0" xfId="0" applyFont="1" applyFill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0" fillId="25" borderId="0" xfId="0" applyFill="1"/>
    <xf numFmtId="0" fontId="28" fillId="25" borderId="0" xfId="0" applyFont="1" applyFill="1"/>
    <xf numFmtId="0" fontId="1" fillId="25" borderId="0" xfId="0" applyFont="1" applyFill="1"/>
    <xf numFmtId="0" fontId="0" fillId="25" borderId="0" xfId="0" applyFill="1" applyAlignment="1">
      <alignment vertical="center"/>
    </xf>
    <xf numFmtId="0" fontId="0" fillId="0" borderId="0" xfId="0" applyProtection="1"/>
    <xf numFmtId="0" fontId="1" fillId="4" borderId="0" xfId="0" applyFont="1" applyFill="1" applyAlignment="1" applyProtection="1">
      <alignment horizontal="center"/>
    </xf>
    <xf numFmtId="0" fontId="0" fillId="6" borderId="0" xfId="0" applyFill="1" applyProtection="1"/>
    <xf numFmtId="0" fontId="1" fillId="6" borderId="0" xfId="0" applyFont="1" applyFill="1" applyProtection="1"/>
    <xf numFmtId="0" fontId="2" fillId="7" borderId="0" xfId="0" applyFont="1" applyFill="1" applyProtection="1"/>
    <xf numFmtId="0" fontId="1" fillId="7" borderId="0" xfId="0" applyFont="1" applyFill="1" applyProtection="1"/>
    <xf numFmtId="0" fontId="0" fillId="7" borderId="0" xfId="0" applyFill="1" applyProtection="1"/>
    <xf numFmtId="0" fontId="1" fillId="4" borderId="60" xfId="0" applyFont="1" applyFill="1" applyBorder="1" applyProtection="1"/>
    <xf numFmtId="0" fontId="0" fillId="11" borderId="61" xfId="0" applyFill="1" applyBorder="1" applyProtection="1"/>
    <xf numFmtId="0" fontId="0" fillId="4" borderId="0" xfId="0" applyFill="1" applyProtection="1"/>
    <xf numFmtId="0" fontId="1" fillId="4" borderId="0" xfId="0" applyFont="1" applyFill="1" applyProtection="1"/>
    <xf numFmtId="0" fontId="0" fillId="4" borderId="59" xfId="0" applyFill="1" applyBorder="1" applyProtection="1"/>
    <xf numFmtId="0" fontId="0" fillId="0" borderId="1" xfId="0" applyBorder="1" applyProtection="1"/>
    <xf numFmtId="0" fontId="0" fillId="0" borderId="2" xfId="0" applyBorder="1" applyProtection="1"/>
    <xf numFmtId="0" fontId="1" fillId="0" borderId="1" xfId="0" applyFont="1" applyBorder="1" applyProtection="1"/>
    <xf numFmtId="0" fontId="1" fillId="10" borderId="0" xfId="0" applyFont="1" applyFill="1" applyProtection="1"/>
    <xf numFmtId="0" fontId="0" fillId="0" borderId="1" xfId="0" quotePrefix="1" applyBorder="1" applyProtection="1"/>
    <xf numFmtId="0" fontId="0" fillId="0" borderId="4" xfId="0" applyBorder="1" applyProtection="1"/>
    <xf numFmtId="0" fontId="4" fillId="13" borderId="0" xfId="0" applyFont="1" applyFill="1" applyAlignment="1" applyProtection="1">
      <alignment horizontal="center"/>
    </xf>
    <xf numFmtId="0" fontId="1" fillId="13" borderId="0" xfId="0" applyFont="1" applyFill="1" applyProtection="1"/>
    <xf numFmtId="0" fontId="0" fillId="13" borderId="0" xfId="0" applyFill="1" applyAlignment="1" applyProtection="1">
      <alignment horizontal="center"/>
    </xf>
    <xf numFmtId="0" fontId="0" fillId="13" borderId="0" xfId="0" applyFill="1" applyProtection="1"/>
    <xf numFmtId="0" fontId="1" fillId="11" borderId="0" xfId="0" applyFont="1" applyFill="1" applyProtection="1"/>
    <xf numFmtId="0" fontId="3" fillId="0" borderId="1" xfId="0" applyFont="1" applyBorder="1" applyProtection="1"/>
    <xf numFmtId="0" fontId="0" fillId="22" borderId="1" xfId="0" applyFill="1" applyBorder="1" applyProtection="1"/>
    <xf numFmtId="0" fontId="0" fillId="0" borderId="1" xfId="0" applyBorder="1" applyAlignment="1" applyProtection="1">
      <alignment horizontal="center"/>
    </xf>
    <xf numFmtId="0" fontId="0" fillId="20" borderId="0" xfId="0" applyFill="1" applyProtection="1"/>
    <xf numFmtId="0" fontId="1" fillId="13" borderId="62" xfId="0" applyFont="1" applyFill="1" applyBorder="1" applyProtection="1"/>
    <xf numFmtId="0" fontId="1" fillId="2" borderId="0" xfId="0" applyFont="1" applyFill="1" applyProtection="1"/>
    <xf numFmtId="0" fontId="0" fillId="2" borderId="0" xfId="0" applyFill="1" applyProtection="1"/>
    <xf numFmtId="0" fontId="1" fillId="21" borderId="0" xfId="0" applyFont="1" applyFill="1" applyProtection="1"/>
    <xf numFmtId="0" fontId="30" fillId="22" borderId="3" xfId="0" applyFont="1" applyFill="1" applyBorder="1" applyProtection="1"/>
    <xf numFmtId="0" fontId="0" fillId="21" borderId="0" xfId="0" applyFill="1" applyProtection="1"/>
    <xf numFmtId="0" fontId="3" fillId="24" borderId="1" xfId="0" quotePrefix="1" applyFont="1" applyFill="1" applyBorder="1" applyProtection="1"/>
    <xf numFmtId="0" fontId="1" fillId="2" borderId="0" xfId="0" applyFont="1" applyFill="1" applyAlignment="1" applyProtection="1">
      <alignment horizontal="center"/>
    </xf>
    <xf numFmtId="0" fontId="3" fillId="24" borderId="2" xfId="0" quotePrefix="1" applyFont="1" applyFill="1" applyBorder="1" applyProtection="1"/>
    <xf numFmtId="0" fontId="17" fillId="0" borderId="0" xfId="0" applyFont="1" applyProtection="1"/>
    <xf numFmtId="164" fontId="0" fillId="0" borderId="2" xfId="0" applyNumberFormat="1" applyBorder="1" applyProtection="1"/>
    <xf numFmtId="164" fontId="0" fillId="0" borderId="1" xfId="0" applyNumberFormat="1" applyBorder="1" applyProtection="1"/>
    <xf numFmtId="0" fontId="0" fillId="0" borderId="5" xfId="0" applyFill="1" applyBorder="1" applyProtection="1"/>
    <xf numFmtId="0" fontId="0" fillId="0" borderId="1" xfId="0" applyFont="1" applyBorder="1" applyProtection="1"/>
    <xf numFmtId="0" fontId="31" fillId="6" borderId="0" xfId="0" applyFont="1" applyFill="1" applyProtection="1"/>
    <xf numFmtId="0" fontId="0" fillId="11" borderId="0" xfId="0" applyFill="1" applyProtection="1"/>
    <xf numFmtId="0" fontId="0" fillId="0" borderId="1" xfId="0" applyFill="1" applyBorder="1" applyProtection="1"/>
    <xf numFmtId="0" fontId="0" fillId="0" borderId="1" xfId="0" applyFont="1" applyFill="1" applyBorder="1" applyProtection="1"/>
    <xf numFmtId="0" fontId="0" fillId="0" borderId="1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63" xfId="0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9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/>
    </xf>
    <xf numFmtId="0" fontId="4" fillId="14" borderId="0" xfId="0" applyFont="1" applyFill="1" applyAlignment="1" applyProtection="1">
      <alignment horizontal="center"/>
    </xf>
    <xf numFmtId="0" fontId="22" fillId="0" borderId="0" xfId="0" applyFont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7" xfId="0" applyFont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right" vertical="center" indent="1"/>
      <protection locked="0"/>
    </xf>
    <xf numFmtId="0" fontId="7" fillId="0" borderId="5" xfId="0" applyFont="1" applyBorder="1" applyAlignment="1" applyProtection="1">
      <alignment horizontal="right" vertical="center" indent="1"/>
      <protection locked="0"/>
    </xf>
    <xf numFmtId="0" fontId="7" fillId="0" borderId="6" xfId="0" applyFont="1" applyBorder="1" applyAlignment="1" applyProtection="1">
      <alignment horizontal="right" vertical="center" indent="1"/>
      <protection locked="0"/>
    </xf>
    <xf numFmtId="0" fontId="7" fillId="0" borderId="29" xfId="0" applyFont="1" applyBorder="1" applyAlignment="1" applyProtection="1">
      <alignment horizontal="right" vertical="center" indent="1"/>
      <protection locked="0"/>
    </xf>
    <xf numFmtId="0" fontId="7" fillId="0" borderId="30" xfId="0" applyFont="1" applyBorder="1" applyAlignment="1" applyProtection="1">
      <alignment horizontal="right" vertical="center" indent="1"/>
      <protection locked="0"/>
    </xf>
    <xf numFmtId="0" fontId="7" fillId="0" borderId="31" xfId="0" applyFont="1" applyBorder="1" applyAlignment="1" applyProtection="1">
      <alignment horizontal="right" vertical="center" indent="1"/>
      <protection locked="0"/>
    </xf>
    <xf numFmtId="0" fontId="7" fillId="0" borderId="35" xfId="0" applyFont="1" applyBorder="1" applyAlignment="1" applyProtection="1">
      <alignment horizontal="right" vertical="center" indent="1"/>
      <protection locked="0"/>
    </xf>
    <xf numFmtId="0" fontId="7" fillId="0" borderId="36" xfId="0" applyFont="1" applyBorder="1" applyAlignment="1" applyProtection="1">
      <alignment horizontal="right" vertical="center" indent="1"/>
      <protection locked="0"/>
    </xf>
    <xf numFmtId="0" fontId="7" fillId="0" borderId="38" xfId="0" applyFont="1" applyBorder="1" applyAlignment="1">
      <alignment horizontal="right" vertical="center" indent="1"/>
    </xf>
    <xf numFmtId="0" fontId="7" fillId="0" borderId="39" xfId="0" applyFont="1" applyBorder="1" applyAlignment="1">
      <alignment horizontal="right" vertical="center" indent="1"/>
    </xf>
    <xf numFmtId="0" fontId="6" fillId="15" borderId="10" xfId="0" applyFont="1" applyFill="1" applyBorder="1" applyAlignment="1">
      <alignment horizontal="center"/>
    </xf>
    <xf numFmtId="0" fontId="6" fillId="15" borderId="11" xfId="0" applyFont="1" applyFill="1" applyBorder="1" applyAlignment="1">
      <alignment horizontal="center"/>
    </xf>
    <xf numFmtId="0" fontId="6" fillId="15" borderId="12" xfId="0" applyFont="1" applyFill="1" applyBorder="1" applyAlignment="1">
      <alignment horizontal="center"/>
    </xf>
    <xf numFmtId="0" fontId="6" fillId="17" borderId="10" xfId="0" applyFont="1" applyFill="1" applyBorder="1" applyAlignment="1">
      <alignment horizontal="center"/>
    </xf>
    <xf numFmtId="0" fontId="6" fillId="17" borderId="11" xfId="0" applyFont="1" applyFill="1" applyBorder="1" applyAlignment="1">
      <alignment horizontal="center"/>
    </xf>
    <xf numFmtId="0" fontId="6" fillId="17" borderId="12" xfId="0" applyFont="1" applyFill="1" applyBorder="1" applyAlignment="1">
      <alignment horizontal="center"/>
    </xf>
    <xf numFmtId="0" fontId="5" fillId="18" borderId="13" xfId="0" applyFont="1" applyFill="1" applyBorder="1" applyAlignment="1">
      <alignment horizontal="center" vertical="center" wrapText="1"/>
    </xf>
    <xf numFmtId="0" fontId="5" fillId="18" borderId="20" xfId="0" applyFont="1" applyFill="1" applyBorder="1" applyAlignment="1">
      <alignment horizontal="center" vertical="center" wrapText="1"/>
    </xf>
    <xf numFmtId="0" fontId="6" fillId="0" borderId="14" xfId="0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7" fillId="0" borderId="21" xfId="0" applyFont="1" applyBorder="1" applyAlignment="1" applyProtection="1">
      <alignment horizontal="right" vertical="center" indent="1"/>
      <protection locked="0"/>
    </xf>
    <xf numFmtId="0" fontId="7" fillId="0" borderId="22" xfId="0" applyFont="1" applyBorder="1" applyAlignment="1" applyProtection="1">
      <alignment horizontal="right" vertical="center" indent="1"/>
      <protection locked="0"/>
    </xf>
    <xf numFmtId="0" fontId="7" fillId="0" borderId="23" xfId="0" applyFont="1" applyBorder="1" applyAlignment="1" applyProtection="1">
      <alignment horizontal="right" vertical="center" indent="1"/>
      <protection locked="0"/>
    </xf>
    <xf numFmtId="0" fontId="12" fillId="0" borderId="10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50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2" fillId="0" borderId="52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3" fillId="0" borderId="2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7" fillId="0" borderId="5" xfId="0" applyFont="1" applyBorder="1" applyAlignment="1" applyProtection="1">
      <alignment horizontal="center"/>
      <protection locked="0"/>
    </xf>
    <xf numFmtId="0" fontId="12" fillId="0" borderId="34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14" fontId="7" fillId="0" borderId="5" xfId="0" applyNumberFormat="1" applyFont="1" applyBorder="1" applyAlignment="1" applyProtection="1">
      <alignment horizontal="center"/>
      <protection locked="0"/>
    </xf>
    <xf numFmtId="0" fontId="15" fillId="0" borderId="26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2" fillId="0" borderId="35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7" fillId="0" borderId="27" xfId="0" applyFont="1" applyBorder="1" applyAlignment="1" applyProtection="1">
      <alignment horizontal="right" vertical="center" indent="1"/>
      <protection locked="0"/>
    </xf>
    <xf numFmtId="0" fontId="7" fillId="0" borderId="17" xfId="0" applyFont="1" applyBorder="1" applyAlignment="1" applyProtection="1">
      <alignment horizontal="right" vertical="center" indent="1"/>
      <protection locked="0"/>
    </xf>
    <xf numFmtId="0" fontId="7" fillId="0" borderId="18" xfId="0" applyFont="1" applyBorder="1" applyAlignment="1" applyProtection="1">
      <alignment horizontal="right" vertical="center" indent="1"/>
      <protection locked="0"/>
    </xf>
    <xf numFmtId="0" fontId="7" fillId="0" borderId="19" xfId="0" applyFont="1" applyBorder="1" applyAlignment="1" applyProtection="1">
      <alignment horizontal="right" vertical="center" indent="1"/>
      <protection locked="0"/>
    </xf>
    <xf numFmtId="0" fontId="7" fillId="0" borderId="34" xfId="0" applyFont="1" applyBorder="1" applyAlignment="1" applyProtection="1">
      <alignment horizontal="right" vertical="center" indent="1"/>
      <protection locked="0"/>
    </xf>
    <xf numFmtId="0" fontId="7" fillId="0" borderId="37" xfId="0" applyFont="1" applyBorder="1" applyAlignment="1" applyProtection="1">
      <alignment horizontal="right" vertical="center" indent="1"/>
      <protection locked="0"/>
    </xf>
    <xf numFmtId="0" fontId="7" fillId="0" borderId="30" xfId="0" applyFont="1" applyBorder="1" applyAlignment="1">
      <alignment horizontal="center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Alignment="1" applyProtection="1">
      <alignment horizontal="center"/>
      <protection locked="0"/>
    </xf>
    <xf numFmtId="49" fontId="7" fillId="0" borderId="40" xfId="0" applyNumberFormat="1" applyFont="1" applyBorder="1" applyAlignment="1" applyProtection="1">
      <alignment horizontal="center"/>
      <protection locked="0"/>
    </xf>
    <xf numFmtId="49" fontId="7" fillId="0" borderId="41" xfId="0" applyNumberFormat="1" applyFont="1" applyBorder="1" applyAlignment="1" applyProtection="1">
      <alignment horizontal="center"/>
      <protection locked="0"/>
    </xf>
    <xf numFmtId="14" fontId="7" fillId="0" borderId="40" xfId="0" applyNumberFormat="1" applyFont="1" applyBorder="1" applyAlignment="1" applyProtection="1">
      <alignment horizontal="center"/>
      <protection locked="0"/>
    </xf>
    <xf numFmtId="14" fontId="7" fillId="0" borderId="41" xfId="0" applyNumberFormat="1" applyFont="1" applyBorder="1" applyAlignment="1" applyProtection="1">
      <alignment horizontal="center"/>
      <protection locked="0"/>
    </xf>
    <xf numFmtId="0" fontId="6" fillId="15" borderId="0" xfId="0" applyFont="1" applyFill="1" applyAlignment="1">
      <alignment horizontal="center"/>
    </xf>
    <xf numFmtId="0" fontId="6" fillId="17" borderId="0" xfId="0" applyFont="1" applyFill="1" applyAlignment="1">
      <alignment horizontal="center"/>
    </xf>
    <xf numFmtId="0" fontId="6" fillId="0" borderId="42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5" borderId="0" xfId="0" applyFill="1" applyAlignment="1">
      <alignment horizontal="left" vertical="center" wrapText="1"/>
    </xf>
    <xf numFmtId="0" fontId="0" fillId="25" borderId="0" xfId="0" applyFill="1" applyAlignment="1">
      <alignment vertical="center"/>
    </xf>
    <xf numFmtId="0" fontId="0" fillId="25" borderId="0" xfId="0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 patternType="solid"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 patternType="solid"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828675</xdr:colOff>
      <xdr:row>25</xdr:row>
      <xdr:rowOff>0</xdr:rowOff>
    </xdr:from>
    <xdr:to>
      <xdr:col>11</xdr:col>
      <xdr:colOff>895350</xdr:colOff>
      <xdr:row>31</xdr:row>
      <xdr:rowOff>180975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02E12408-D6B4-4963-B316-ECC631CAD995}"/>
            </a:ext>
          </a:extLst>
        </xdr:cNvPr>
        <xdr:cNvSpPr/>
      </xdr:nvSpPr>
      <xdr:spPr>
        <a:xfrm>
          <a:off x="12896850" y="4762500"/>
          <a:ext cx="1209675" cy="1323975"/>
        </a:xfrm>
        <a:prstGeom prst="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/>
            <a:t>Developer use only</a:t>
          </a:r>
          <a:r>
            <a:rPr lang="en-GB" sz="1100"/>
            <a:t>: Resets all fields</a:t>
          </a:r>
        </a:p>
      </xdr:txBody>
    </xdr:sp>
    <xdr:clientData/>
  </xdr:twoCellAnchor>
  <xdr:twoCellAnchor>
    <xdr:from>
      <xdr:col>5</xdr:col>
      <xdr:colOff>247650</xdr:colOff>
      <xdr:row>25</xdr:row>
      <xdr:rowOff>28575</xdr:rowOff>
    </xdr:from>
    <xdr:to>
      <xdr:col>6</xdr:col>
      <xdr:colOff>1409700</xdr:colOff>
      <xdr:row>33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2E12408-D6B4-4963-B316-ECC631CAD995}"/>
            </a:ext>
          </a:extLst>
        </xdr:cNvPr>
        <xdr:cNvSpPr/>
      </xdr:nvSpPr>
      <xdr:spPr>
        <a:xfrm>
          <a:off x="6619875" y="4791075"/>
          <a:ext cx="1571625" cy="16383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Click below to</a:t>
          </a:r>
          <a:r>
            <a:rPr lang="en-GB" sz="1100" baseline="0"/>
            <a:t> start analysis on selected biopsy number: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1038225</xdr:colOff>
          <xdr:row>29</xdr:row>
          <xdr:rowOff>57150</xdr:rowOff>
        </xdr:from>
        <xdr:to>
          <xdr:col>11</xdr:col>
          <xdr:colOff>723900</xdr:colOff>
          <xdr:row>30</xdr:row>
          <xdr:rowOff>161925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xmlns="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31</xdr:row>
          <xdr:rowOff>47625</xdr:rowOff>
        </xdr:from>
        <xdr:to>
          <xdr:col>6</xdr:col>
          <xdr:colOff>1057275</xdr:colOff>
          <xdr:row>32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xmlns="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342901</xdr:colOff>
      <xdr:row>29</xdr:row>
      <xdr:rowOff>66675</xdr:rowOff>
    </xdr:from>
    <xdr:ext cx="1362074" cy="264560"/>
    <xdr:sp macro="" textlink="biopsy_number">
      <xdr:nvSpPr>
        <xdr:cNvPr id="3" name="TextBox 2"/>
        <xdr:cNvSpPr txBox="1"/>
      </xdr:nvSpPr>
      <xdr:spPr>
        <a:xfrm>
          <a:off x="6715126" y="5591175"/>
          <a:ext cx="13620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EB94764D-C6EB-40C4-A4D3-BC3B13EFAD63}" type="TxLink">
            <a:rPr lang="en-US" sz="1100" b="1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GB" sz="1100" b="1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\..\..\..\Current\PGD\pgd%20results\SNP%20array\Genotyping%20data%20from%20MSV%20&amp;%20ChAS%20detail%20view%20export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0"/>
  <sheetViews>
    <sheetView tabSelected="1" topLeftCell="G1" workbookViewId="0">
      <selection activeCell="S4" sqref="S4"/>
    </sheetView>
  </sheetViews>
  <sheetFormatPr defaultRowHeight="15" x14ac:dyDescent="0.25"/>
  <cols>
    <col min="1" max="1" width="30.85546875" style="141" bestFit="1" customWidth="1"/>
    <col min="2" max="3" width="23.5703125" style="141" customWidth="1"/>
    <col min="4" max="4" width="9.140625" style="141"/>
    <col min="5" max="5" width="8.42578125" style="141" bestFit="1" customWidth="1"/>
    <col min="6" max="6" width="6.140625" style="141" customWidth="1"/>
    <col min="7" max="7" width="27.85546875" style="141" customWidth="1"/>
    <col min="8" max="12" width="17.140625" style="141" customWidth="1"/>
    <col min="13" max="13" width="21" style="141" customWidth="1"/>
    <col min="14" max="14" width="6.5703125" style="141" customWidth="1"/>
    <col min="15" max="15" width="7.7109375" style="141" customWidth="1"/>
    <col min="16" max="16" width="6.28515625" style="141" customWidth="1"/>
    <col min="17" max="17" width="11.28515625" style="141" customWidth="1"/>
    <col min="18" max="19" width="17.140625" style="141" customWidth="1"/>
    <col min="20" max="20" width="48.42578125" style="141" customWidth="1"/>
    <col min="21" max="21" width="6.28515625" style="141" customWidth="1"/>
    <col min="22" max="16384" width="9.140625" style="141"/>
  </cols>
  <sheetData>
    <row r="1" spans="1:21" x14ac:dyDescent="0.25">
      <c r="A1" s="191" t="s">
        <v>0</v>
      </c>
      <c r="B1" s="191"/>
      <c r="C1" s="191"/>
      <c r="D1" s="191"/>
      <c r="F1" s="193" t="s">
        <v>1</v>
      </c>
      <c r="G1" s="193"/>
      <c r="H1" s="193"/>
      <c r="I1" s="193"/>
      <c r="J1" s="193"/>
      <c r="K1" s="193"/>
      <c r="L1" s="193"/>
      <c r="M1" s="193"/>
      <c r="N1" s="193"/>
      <c r="P1" s="192" t="s">
        <v>2</v>
      </c>
      <c r="Q1" s="192"/>
      <c r="R1" s="192"/>
      <c r="S1" s="192"/>
      <c r="T1" s="192"/>
      <c r="U1" s="192"/>
    </row>
    <row r="2" spans="1:21" x14ac:dyDescent="0.25">
      <c r="A2" s="142"/>
      <c r="B2" s="142"/>
      <c r="C2" s="142"/>
      <c r="D2" s="142"/>
      <c r="F2" s="143"/>
      <c r="G2" s="143"/>
      <c r="H2" s="144"/>
      <c r="I2" s="143"/>
      <c r="J2" s="143"/>
      <c r="K2" s="143"/>
      <c r="L2" s="143"/>
      <c r="M2" s="143"/>
      <c r="N2" s="143"/>
      <c r="P2" s="145"/>
      <c r="Q2" s="146"/>
      <c r="R2" s="147"/>
      <c r="S2" s="147"/>
      <c r="T2" s="147"/>
      <c r="U2" s="147"/>
    </row>
    <row r="3" spans="1:21" x14ac:dyDescent="0.25">
      <c r="A3" s="148" t="s">
        <v>3</v>
      </c>
      <c r="B3" s="149"/>
      <c r="C3" s="150"/>
      <c r="D3" s="150"/>
      <c r="F3" s="143"/>
      <c r="G3" s="144" t="s">
        <v>5</v>
      </c>
      <c r="H3" s="144" t="s">
        <v>6</v>
      </c>
      <c r="I3" s="144" t="s">
        <v>7</v>
      </c>
      <c r="J3" s="144" t="s">
        <v>8</v>
      </c>
      <c r="K3" s="144" t="s">
        <v>9</v>
      </c>
      <c r="L3" s="144" t="s">
        <v>10</v>
      </c>
      <c r="M3" s="144" t="s">
        <v>11</v>
      </c>
      <c r="N3" s="144"/>
      <c r="P3" s="147"/>
      <c r="Q3" s="146" t="s">
        <v>12</v>
      </c>
      <c r="R3" s="146" t="s">
        <v>13</v>
      </c>
      <c r="S3" s="146" t="s">
        <v>245</v>
      </c>
      <c r="T3" s="146" t="s">
        <v>11</v>
      </c>
      <c r="U3" s="147"/>
    </row>
    <row r="4" spans="1:21" x14ac:dyDescent="0.25">
      <c r="A4" s="151"/>
      <c r="B4" s="152"/>
      <c r="C4" s="150"/>
      <c r="D4" s="150"/>
      <c r="F4" s="143"/>
      <c r="G4" s="153"/>
      <c r="H4" s="153"/>
      <c r="I4" s="154"/>
      <c r="J4" s="154"/>
      <c r="K4" s="178"/>
      <c r="L4" s="154"/>
      <c r="M4" s="184"/>
      <c r="N4" s="143"/>
      <c r="P4" s="146"/>
      <c r="Q4" s="181"/>
      <c r="R4" s="181"/>
      <c r="S4" s="181"/>
      <c r="T4" s="185"/>
      <c r="U4" s="147"/>
    </row>
    <row r="5" spans="1:21" x14ac:dyDescent="0.25">
      <c r="A5" s="151" t="s">
        <v>14</v>
      </c>
      <c r="B5" s="153"/>
      <c r="C5" s="150"/>
      <c r="D5" s="150"/>
      <c r="F5" s="143"/>
      <c r="G5" s="143"/>
      <c r="H5" s="144"/>
      <c r="I5" s="143"/>
      <c r="J5" s="143"/>
      <c r="K5" s="143"/>
      <c r="L5" s="143"/>
      <c r="M5" s="182"/>
      <c r="N5" s="143"/>
      <c r="P5" s="146"/>
      <c r="Q5" s="181"/>
      <c r="R5" s="181"/>
      <c r="S5" s="181"/>
      <c r="T5" s="185"/>
      <c r="U5" s="147"/>
    </row>
    <row r="6" spans="1:21" x14ac:dyDescent="0.25">
      <c r="A6" s="151"/>
      <c r="B6" s="150"/>
      <c r="C6" s="150"/>
      <c r="D6" s="150"/>
      <c r="F6" s="143"/>
      <c r="G6" s="153"/>
      <c r="H6" s="153"/>
      <c r="I6" s="154"/>
      <c r="J6" s="154"/>
      <c r="K6" s="178"/>
      <c r="L6" s="154"/>
      <c r="M6" s="184"/>
      <c r="N6" s="143"/>
      <c r="P6" s="146"/>
      <c r="Q6" s="181"/>
      <c r="R6" s="181"/>
      <c r="S6" s="181"/>
      <c r="T6" s="185"/>
      <c r="U6" s="147"/>
    </row>
    <row r="7" spans="1:21" x14ac:dyDescent="0.25">
      <c r="A7" s="151" t="s">
        <v>15</v>
      </c>
      <c r="B7" s="153"/>
      <c r="C7" s="150"/>
      <c r="D7" s="150"/>
      <c r="F7" s="143"/>
      <c r="G7" s="143"/>
      <c r="H7" s="144"/>
      <c r="I7" s="143"/>
      <c r="J7" s="143"/>
      <c r="K7" s="143"/>
      <c r="L7" s="143"/>
      <c r="M7" s="182"/>
      <c r="N7" s="143"/>
      <c r="P7" s="146"/>
      <c r="Q7" s="181"/>
      <c r="R7" s="181"/>
      <c r="S7" s="181"/>
      <c r="T7" s="185"/>
      <c r="U7" s="147"/>
    </row>
    <row r="8" spans="1:21" x14ac:dyDescent="0.25">
      <c r="A8" s="150"/>
      <c r="B8" s="150"/>
      <c r="C8" s="150"/>
      <c r="D8" s="150"/>
      <c r="F8" s="143"/>
      <c r="G8" s="156" t="s">
        <v>242</v>
      </c>
      <c r="H8" s="153"/>
      <c r="I8" s="153"/>
      <c r="J8" s="153"/>
      <c r="K8" s="179"/>
      <c r="L8" s="153"/>
      <c r="M8" s="184"/>
      <c r="N8" s="143"/>
      <c r="P8" s="146"/>
      <c r="Q8" s="181"/>
      <c r="R8" s="181"/>
      <c r="S8" s="181"/>
      <c r="T8" s="185"/>
      <c r="U8" s="147"/>
    </row>
    <row r="9" spans="1:21" x14ac:dyDescent="0.25">
      <c r="A9" s="151" t="s">
        <v>16</v>
      </c>
      <c r="B9" s="153"/>
      <c r="C9" s="150"/>
      <c r="D9" s="150"/>
      <c r="F9" s="143"/>
      <c r="G9" s="144"/>
      <c r="H9" s="143"/>
      <c r="I9" s="143"/>
      <c r="J9" s="143"/>
      <c r="K9" s="143"/>
      <c r="L9" s="143"/>
      <c r="M9" s="182"/>
      <c r="N9" s="143"/>
      <c r="P9" s="146"/>
      <c r="Q9" s="181"/>
      <c r="R9" s="181"/>
      <c r="S9" s="181"/>
      <c r="T9" s="185"/>
      <c r="U9" s="147"/>
    </row>
    <row r="10" spans="1:21" x14ac:dyDescent="0.25">
      <c r="A10" s="150"/>
      <c r="B10" s="150" t="s">
        <v>17</v>
      </c>
      <c r="C10" s="150"/>
      <c r="D10" s="150"/>
      <c r="F10" s="143"/>
      <c r="G10" s="144" t="s">
        <v>18</v>
      </c>
      <c r="H10" s="143"/>
      <c r="I10" s="143"/>
      <c r="J10" s="143"/>
      <c r="K10" s="143"/>
      <c r="L10" s="143"/>
      <c r="M10" s="143"/>
      <c r="N10" s="143"/>
      <c r="P10" s="146"/>
      <c r="Q10" s="181"/>
      <c r="R10" s="181"/>
      <c r="S10" s="181"/>
      <c r="T10" s="185"/>
      <c r="U10" s="147"/>
    </row>
    <row r="11" spans="1:21" x14ac:dyDescent="0.25">
      <c r="F11" s="143"/>
      <c r="G11" s="156" t="s">
        <v>19</v>
      </c>
      <c r="H11" s="157"/>
      <c r="I11" s="143"/>
      <c r="J11" s="143"/>
      <c r="K11" s="143"/>
      <c r="L11" s="143"/>
      <c r="M11" s="143"/>
      <c r="N11" s="143"/>
      <c r="P11" s="146"/>
      <c r="Q11" s="181"/>
      <c r="R11" s="181"/>
      <c r="S11" s="181"/>
      <c r="T11" s="185"/>
      <c r="U11" s="147"/>
    </row>
    <row r="12" spans="1:21" x14ac:dyDescent="0.25">
      <c r="A12" s="194" t="s">
        <v>20</v>
      </c>
      <c r="B12" s="194"/>
      <c r="C12" s="194"/>
      <c r="D12" s="194"/>
      <c r="F12" s="143"/>
      <c r="G12" s="156" t="s">
        <v>21</v>
      </c>
      <c r="H12" s="158"/>
      <c r="I12" s="143"/>
      <c r="J12" s="143"/>
      <c r="K12" s="143"/>
      <c r="L12" s="143"/>
      <c r="M12" s="143"/>
      <c r="N12" s="143"/>
      <c r="P12" s="146"/>
      <c r="Q12" s="181"/>
      <c r="R12" s="181"/>
      <c r="S12" s="181"/>
      <c r="T12" s="185"/>
      <c r="U12" s="147"/>
    </row>
    <row r="13" spans="1:21" x14ac:dyDescent="0.25">
      <c r="A13" s="159"/>
      <c r="B13" s="159"/>
      <c r="C13" s="159"/>
      <c r="D13" s="159"/>
      <c r="F13" s="143"/>
      <c r="G13" s="156" t="s">
        <v>22</v>
      </c>
      <c r="H13" s="153"/>
      <c r="I13" s="143"/>
      <c r="J13" s="143"/>
      <c r="K13" s="143"/>
      <c r="L13" s="143"/>
      <c r="M13" s="143"/>
      <c r="N13" s="143"/>
      <c r="P13" s="146"/>
      <c r="Q13" s="181"/>
      <c r="R13" s="181"/>
      <c r="S13" s="181"/>
      <c r="T13" s="185"/>
      <c r="U13" s="147"/>
    </row>
    <row r="14" spans="1:21" x14ac:dyDescent="0.25">
      <c r="A14" s="160" t="s">
        <v>23</v>
      </c>
      <c r="B14" s="153"/>
      <c r="C14" s="161"/>
      <c r="D14" s="162"/>
      <c r="F14" s="143"/>
      <c r="G14" s="143"/>
      <c r="H14" s="143"/>
      <c r="I14" s="143"/>
      <c r="J14" s="143"/>
      <c r="K14" s="143"/>
      <c r="L14" s="143"/>
      <c r="M14" s="143"/>
      <c r="N14" s="143"/>
      <c r="P14" s="146"/>
      <c r="Q14" s="181"/>
      <c r="R14" s="181"/>
      <c r="S14" s="181"/>
      <c r="T14" s="185"/>
      <c r="U14" s="147"/>
    </row>
    <row r="15" spans="1:21" x14ac:dyDescent="0.25">
      <c r="A15" s="160" t="s">
        <v>24</v>
      </c>
      <c r="B15" s="158"/>
      <c r="C15" s="162"/>
      <c r="D15" s="162"/>
      <c r="F15" s="143"/>
      <c r="G15" s="163" t="s">
        <v>25</v>
      </c>
      <c r="H15" s="153"/>
      <c r="I15" s="143"/>
      <c r="J15" s="143"/>
      <c r="K15" s="143"/>
      <c r="L15" s="143"/>
      <c r="M15" s="143"/>
      <c r="N15" s="143"/>
      <c r="P15" s="146"/>
      <c r="Q15" s="181"/>
      <c r="R15" s="181"/>
      <c r="S15" s="181"/>
      <c r="T15" s="185"/>
      <c r="U15" s="147"/>
    </row>
    <row r="16" spans="1:21" x14ac:dyDescent="0.25">
      <c r="A16" s="160" t="s">
        <v>26</v>
      </c>
      <c r="B16" s="164"/>
      <c r="C16" s="162"/>
      <c r="D16" s="162"/>
      <c r="F16" s="143"/>
      <c r="G16" s="143"/>
      <c r="H16" s="143"/>
      <c r="I16" s="143"/>
      <c r="J16" s="143"/>
      <c r="K16" s="143"/>
      <c r="L16" s="143"/>
      <c r="M16" s="143"/>
      <c r="N16" s="143"/>
      <c r="P16" s="146"/>
      <c r="Q16" s="181"/>
      <c r="R16" s="181"/>
      <c r="S16" s="181"/>
      <c r="T16" s="185"/>
      <c r="U16" s="147"/>
    </row>
    <row r="17" spans="1:21" x14ac:dyDescent="0.25">
      <c r="A17" s="162"/>
      <c r="B17" s="162"/>
      <c r="C17" s="162"/>
      <c r="D17" s="162"/>
      <c r="F17" s="143"/>
      <c r="G17" s="163" t="s">
        <v>244</v>
      </c>
      <c r="H17" s="153"/>
      <c r="I17" s="143"/>
      <c r="J17" s="143"/>
      <c r="K17" s="143"/>
      <c r="L17" s="143" t="str">
        <f>IF(B3 ="Autosomal_Dominant", "Exclusion?", "")</f>
        <v/>
      </c>
      <c r="M17" s="143"/>
      <c r="N17" s="143"/>
      <c r="P17" s="146"/>
      <c r="Q17" s="181"/>
      <c r="R17" s="181"/>
      <c r="S17" s="181"/>
      <c r="T17" s="185"/>
      <c r="U17" s="147"/>
    </row>
    <row r="18" spans="1:21" x14ac:dyDescent="0.25">
      <c r="A18" s="160" t="s">
        <v>27</v>
      </c>
      <c r="B18" s="165"/>
      <c r="C18" s="162"/>
      <c r="D18" s="162"/>
      <c r="F18" s="143"/>
      <c r="G18" s="143"/>
      <c r="H18" s="143"/>
      <c r="I18" s="143"/>
      <c r="J18" s="143"/>
      <c r="K18" s="143"/>
      <c r="L18" s="143"/>
      <c r="M18" s="143"/>
      <c r="N18" s="143"/>
      <c r="P18" s="146"/>
      <c r="Q18" s="181"/>
      <c r="R18" s="181"/>
      <c r="S18" s="181"/>
      <c r="T18" s="185"/>
      <c r="U18" s="147"/>
    </row>
    <row r="19" spans="1:21" x14ac:dyDescent="0.25">
      <c r="A19" s="160"/>
      <c r="B19" s="162"/>
      <c r="C19" s="162"/>
      <c r="D19" s="162"/>
      <c r="P19" s="146"/>
      <c r="Q19" s="181"/>
      <c r="R19" s="181"/>
      <c r="S19" s="181"/>
      <c r="T19" s="185"/>
      <c r="U19" s="147"/>
    </row>
    <row r="20" spans="1:21" x14ac:dyDescent="0.25">
      <c r="A20" s="160" t="s">
        <v>28</v>
      </c>
      <c r="B20" s="166"/>
      <c r="C20" s="162"/>
      <c r="D20" s="162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46"/>
      <c r="Q20" s="181"/>
      <c r="R20" s="181"/>
      <c r="S20" s="181"/>
      <c r="T20" s="185"/>
      <c r="U20" s="147"/>
    </row>
    <row r="21" spans="1:21" x14ac:dyDescent="0.25">
      <c r="A21" s="160" t="s">
        <v>29</v>
      </c>
      <c r="B21" s="166"/>
      <c r="C21" s="162"/>
      <c r="D21" s="162"/>
      <c r="E21" s="160"/>
      <c r="F21" s="168" t="s">
        <v>30</v>
      </c>
      <c r="G21" s="168"/>
      <c r="H21" s="168"/>
      <c r="I21" s="168"/>
      <c r="J21" s="168"/>
      <c r="K21" s="168"/>
      <c r="L21" s="168"/>
      <c r="M21" s="160" t="s">
        <v>237</v>
      </c>
      <c r="N21" s="160"/>
      <c r="O21" s="167"/>
      <c r="P21" s="146"/>
      <c r="Q21" s="181"/>
      <c r="R21" s="181"/>
      <c r="S21" s="181"/>
      <c r="T21" s="185"/>
      <c r="U21" s="147"/>
    </row>
    <row r="22" spans="1:21" x14ac:dyDescent="0.25">
      <c r="A22" s="160" t="s">
        <v>31</v>
      </c>
      <c r="B22" s="166"/>
      <c r="C22" s="161"/>
      <c r="D22" s="162"/>
      <c r="E22" s="160" t="s">
        <v>32</v>
      </c>
      <c r="F22" s="187"/>
      <c r="G22" s="188"/>
      <c r="H22" s="188"/>
      <c r="I22" s="188"/>
      <c r="J22" s="188"/>
      <c r="K22" s="188"/>
      <c r="L22" s="189"/>
      <c r="M22" s="186"/>
      <c r="N22" s="186"/>
      <c r="O22" s="167"/>
      <c r="P22" s="146"/>
      <c r="Q22" s="181"/>
      <c r="R22" s="181"/>
      <c r="S22" s="181"/>
      <c r="T22" s="185"/>
      <c r="U22" s="147"/>
    </row>
    <row r="23" spans="1:21" x14ac:dyDescent="0.25">
      <c r="A23" s="160"/>
      <c r="B23" s="162"/>
      <c r="C23" s="162"/>
      <c r="D23" s="162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46"/>
      <c r="Q23" s="181"/>
      <c r="R23" s="181"/>
      <c r="S23" s="181"/>
      <c r="T23" s="185"/>
      <c r="U23" s="147"/>
    </row>
    <row r="24" spans="1:21" x14ac:dyDescent="0.25">
      <c r="P24" s="146"/>
      <c r="Q24" s="181"/>
      <c r="R24" s="181"/>
      <c r="S24" s="181"/>
      <c r="T24" s="185"/>
      <c r="U24" s="147"/>
    </row>
    <row r="25" spans="1:21" x14ac:dyDescent="0.25">
      <c r="A25" s="190" t="s">
        <v>33</v>
      </c>
      <c r="B25" s="190"/>
      <c r="C25" s="190"/>
      <c r="D25" s="190"/>
      <c r="P25" s="146"/>
      <c r="Q25" s="181"/>
      <c r="R25" s="181"/>
      <c r="S25" s="181"/>
      <c r="T25" s="185"/>
      <c r="U25" s="147"/>
    </row>
    <row r="26" spans="1:21" x14ac:dyDescent="0.25">
      <c r="A26" s="169"/>
      <c r="B26" s="170"/>
      <c r="C26" s="169" t="s">
        <v>34</v>
      </c>
      <c r="D26" s="170"/>
      <c r="P26" s="146"/>
      <c r="Q26" s="181"/>
      <c r="R26" s="181"/>
      <c r="S26" s="181"/>
      <c r="T26" s="185"/>
      <c r="U26" s="147"/>
    </row>
    <row r="27" spans="1:21" x14ac:dyDescent="0.25">
      <c r="A27" s="171" t="s">
        <v>35</v>
      </c>
      <c r="B27" s="155"/>
      <c r="C27" s="172"/>
      <c r="D27" s="173"/>
      <c r="P27" s="146"/>
      <c r="Q27" s="181"/>
      <c r="R27" s="181"/>
      <c r="S27" s="181"/>
      <c r="T27" s="185"/>
      <c r="U27" s="147"/>
    </row>
    <row r="28" spans="1:21" x14ac:dyDescent="0.25">
      <c r="A28" s="173"/>
      <c r="B28" s="173"/>
      <c r="C28" s="173"/>
      <c r="D28" s="173"/>
      <c r="P28" s="146"/>
      <c r="Q28" s="181"/>
      <c r="R28" s="181"/>
      <c r="S28" s="181"/>
      <c r="T28" s="185"/>
      <c r="U28" s="147"/>
    </row>
    <row r="29" spans="1:21" x14ac:dyDescent="0.25">
      <c r="A29" s="169" t="s">
        <v>36</v>
      </c>
      <c r="B29" s="165"/>
      <c r="C29" s="170"/>
      <c r="D29" s="170"/>
      <c r="P29" s="147"/>
      <c r="Q29" s="147"/>
      <c r="R29" s="147"/>
      <c r="S29" s="147"/>
      <c r="T29" s="147"/>
      <c r="U29" s="147"/>
    </row>
    <row r="30" spans="1:21" x14ac:dyDescent="0.25">
      <c r="A30" s="170"/>
      <c r="B30" s="170"/>
      <c r="C30" s="170"/>
      <c r="D30" s="170"/>
    </row>
    <row r="31" spans="1:21" x14ac:dyDescent="0.25">
      <c r="A31" s="169" t="s">
        <v>37</v>
      </c>
      <c r="B31" s="174" t="e">
        <f>SUBSTITUTE(UPPER(LEFT(B29,(FIND(":",B29, 1)-1))), "CHR", "")</f>
        <v>#VALUE!</v>
      </c>
      <c r="C31" s="170"/>
      <c r="D31" s="170"/>
    </row>
    <row r="32" spans="1:21" x14ac:dyDescent="0.25">
      <c r="A32" s="170"/>
      <c r="B32" s="175" t="s">
        <v>38</v>
      </c>
      <c r="C32" s="175" t="s">
        <v>39</v>
      </c>
      <c r="D32" s="170"/>
    </row>
    <row r="33" spans="1:8" x14ac:dyDescent="0.25">
      <c r="A33" s="169" t="s">
        <v>40</v>
      </c>
      <c r="B33" s="176" t="e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LEFT(B29, FIND("-", B29)-1), ",", ""), "chrY:", ""), "chrX:", ""), "chr22:", ""), "chr21:", ""), "chr20:", ""), "chr19:", ""), "chr18:", ""), "chr17:", ""), "chr16:", ""), "chr15:", ""), "chr14:", ""), "chr13:", ""), "chr12:", ""), "chr11:", ""), "chr10:", ""), "chr9:", ""), "chr8:", ""), "chr7:", ""), "chr6:", ""), "chr5:", ""), "chr4:", ""), "chr3:", ""), "chr2:", ""), "chr1:", "")</f>
        <v>#VALUE!</v>
      </c>
      <c r="C33" s="174" t="e">
        <f>SUBSTITUTE(RIGHT(B29, (LEN(B29) - FIND("-",B29,1))), ",","")</f>
        <v>#VALUE!</v>
      </c>
      <c r="D33" s="170"/>
    </row>
    <row r="34" spans="1:8" x14ac:dyDescent="0.25">
      <c r="A34" s="170"/>
      <c r="B34" s="170"/>
      <c r="C34" s="170"/>
      <c r="D34" s="170"/>
    </row>
    <row r="35" spans="1:8" x14ac:dyDescent="0.25">
      <c r="A35" s="171" t="s">
        <v>239</v>
      </c>
      <c r="B35" s="180">
        <v>2</v>
      </c>
      <c r="C35" s="171" t="s">
        <v>240</v>
      </c>
      <c r="D35" s="173"/>
    </row>
    <row r="36" spans="1:8" x14ac:dyDescent="0.25">
      <c r="A36" s="173" t="s">
        <v>241</v>
      </c>
      <c r="B36" s="173"/>
      <c r="C36" s="173"/>
      <c r="D36" s="173"/>
    </row>
    <row r="38" spans="1:8" x14ac:dyDescent="0.25">
      <c r="A38" s="163" t="s">
        <v>238</v>
      </c>
      <c r="B38" s="183" t="s">
        <v>243</v>
      </c>
    </row>
    <row r="39" spans="1:8" x14ac:dyDescent="0.25">
      <c r="H39" s="177"/>
    </row>
    <row r="40" spans="1:8" x14ac:dyDescent="0.25">
      <c r="H40" s="177"/>
    </row>
  </sheetData>
  <protectedRanges>
    <protectedRange sqref="B18 B35 B14:B16 B3 B38 B5 B7 B9 G4:L4 H11:H13 H15 H17 M17 F22:N22 Q4:S28 G6:L6 H8:L8" name="Editable_cells"/>
  </protectedRanges>
  <mergeCells count="7">
    <mergeCell ref="M22:N22"/>
    <mergeCell ref="F22:L22"/>
    <mergeCell ref="A25:D25"/>
    <mergeCell ref="A1:D1"/>
    <mergeCell ref="P1:U1"/>
    <mergeCell ref="F1:N1"/>
    <mergeCell ref="A12:D12"/>
  </mergeCells>
  <conditionalFormatting sqref="L17">
    <cfRule type="cellIs" dxfId="13" priority="2" operator="equal">
      <formula>"Exclusion?"</formula>
    </cfRule>
  </conditionalFormatting>
  <conditionalFormatting sqref="M17">
    <cfRule type="expression" dxfId="12" priority="1">
      <formula>$L$17="Exclusion?"</formula>
    </cfRule>
  </conditionalFormatting>
  <dataValidations count="10">
    <dataValidation type="list" allowBlank="1" showInputMessage="1" showErrorMessage="1" sqref="B3">
      <formula1>"X-Linked, Autosomal_Dominant, Autosomal_Recessive"</formula1>
    </dataValidation>
    <dataValidation type="whole" allowBlank="1" showInputMessage="1" showErrorMessage="1" sqref="B35">
      <formula1>2</formula1>
      <formula2>10</formula2>
    </dataValidation>
    <dataValidation type="list" allowBlank="1" showInputMessage="1" showErrorMessage="1" sqref="G4">
      <formula1>"carrier_female_partner"</formula1>
    </dataValidation>
    <dataValidation type="list" allowBlank="1" showInputMessage="1" showErrorMessage="1" sqref="H4">
      <formula1>"Female"</formula1>
    </dataValidation>
    <dataValidation type="list" allowBlank="1" showInputMessage="1" showErrorMessage="1" sqref="G6">
      <formula1>"unaffected_male_partner"</formula1>
    </dataValidation>
    <dataValidation type="list" allowBlank="1" showInputMessage="1" showErrorMessage="1" sqref="H6">
      <formula1>"Male"</formula1>
    </dataValidation>
    <dataValidation type="list" allowBlank="1" showInputMessage="1" showErrorMessage="1" sqref="H8">
      <formula1>"Female, Male"</formula1>
    </dataValidation>
    <dataValidation type="list" allowBlank="1" showInputMessage="1" showErrorMessage="1" sqref="H11">
      <formula1>"Carrier, Affected, Unaffected"</formula1>
    </dataValidation>
    <dataValidation type="list" allowBlank="1" showInputMessage="1" showErrorMessage="1" sqref="H12">
      <formula1>"Father, Mother, Son, Daughter, Embryo, Prenatal"</formula1>
    </dataValidation>
    <dataValidation type="list" allowBlank="1" showInputMessage="1" showErrorMessage="1" sqref="H13">
      <formula1>"female_partner, both"</formula1>
    </dataValidation>
  </dataValidations>
  <pageMargins left="0.7" right="0.7" top="0.75" bottom="0.75" header="0.3" footer="0.3"/>
  <pageSetup orientation="portrait" r:id="rId1"/>
  <ignoredErrors>
    <ignoredError sqref="B31 B33:C3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Sheet1.Msgbox_confirm_reset">
                <anchor moveWithCells="1" sizeWithCells="1">
                  <from>
                    <xdr:col>10</xdr:col>
                    <xdr:colOff>1038225</xdr:colOff>
                    <xdr:row>29</xdr:row>
                    <xdr:rowOff>57150</xdr:rowOff>
                  </from>
                  <to>
                    <xdr:col>11</xdr:col>
                    <xdr:colOff>723900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Sheet1.Msgbox_process_samples">
                <anchor moveWithCells="1" sizeWithCells="1">
                  <from>
                    <xdr:col>6</xdr:col>
                    <xdr:colOff>219075</xdr:colOff>
                    <xdr:row>31</xdr:row>
                    <xdr:rowOff>47625</xdr:rowOff>
                  </from>
                  <to>
                    <xdr:col>6</xdr:col>
                    <xdr:colOff>1057275</xdr:colOff>
                    <xdr:row>32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data_validation!$K$1:$K$2</xm:f>
          </x14:formula1>
          <xm:sqref>H15 H17 M17 B18</xm:sqref>
        </x14:dataValidation>
        <x14:dataValidation type="list" allowBlank="1" showInputMessage="1" showErrorMessage="1">
          <x14:formula1>
            <xm:f>data_validation!$J$3:$J$5</xm:f>
          </x14:formula1>
          <xm:sqref>S4:S28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1"/>
  <sheetViews>
    <sheetView workbookViewId="0"/>
  </sheetViews>
  <sheetFormatPr defaultRowHeight="15" x14ac:dyDescent="0.25"/>
  <cols>
    <col min="1" max="1" width="35" bestFit="1" customWidth="1"/>
    <col min="10" max="10" width="11.140625" customWidth="1"/>
    <col min="12" max="12" width="11.85546875" customWidth="1"/>
    <col min="13" max="13" width="12" customWidth="1"/>
    <col min="14" max="14" width="10.5703125" customWidth="1"/>
    <col min="15" max="15" width="11.7109375" customWidth="1"/>
    <col min="16" max="16" width="15.5703125" customWidth="1"/>
  </cols>
  <sheetData>
    <row r="1" spans="1:17" x14ac:dyDescent="0.25">
      <c r="A1" s="97"/>
      <c r="B1" s="98"/>
      <c r="C1" s="98"/>
      <c r="D1" s="98"/>
      <c r="E1" s="98"/>
      <c r="F1" s="97"/>
      <c r="G1" s="98"/>
      <c r="H1" s="98"/>
      <c r="I1" s="98"/>
      <c r="J1" s="98"/>
      <c r="K1" s="98"/>
      <c r="L1" s="98"/>
      <c r="M1" s="98"/>
      <c r="N1" s="98"/>
      <c r="O1" s="97"/>
      <c r="P1" s="97"/>
    </row>
    <row r="2" spans="1:17" ht="63.75" x14ac:dyDescent="0.25">
      <c r="A2" s="99" t="s">
        <v>41</v>
      </c>
      <c r="B2" s="98"/>
      <c r="C2" s="98"/>
      <c r="D2" s="98"/>
      <c r="E2" s="98"/>
      <c r="F2" s="97"/>
      <c r="G2" s="100" t="s">
        <v>42</v>
      </c>
      <c r="H2" s="100" t="s">
        <v>43</v>
      </c>
      <c r="I2" s="100" t="s">
        <v>44</v>
      </c>
      <c r="J2" s="100" t="s">
        <v>45</v>
      </c>
      <c r="K2" s="100" t="s">
        <v>46</v>
      </c>
      <c r="L2" s="100" t="s">
        <v>47</v>
      </c>
      <c r="M2" s="100" t="s">
        <v>48</v>
      </c>
      <c r="N2" s="101" t="s">
        <v>49</v>
      </c>
      <c r="O2" s="101" t="s">
        <v>50</v>
      </c>
      <c r="P2" s="100" t="s">
        <v>51</v>
      </c>
      <c r="Q2" s="102" t="s">
        <v>52</v>
      </c>
    </row>
    <row r="3" spans="1:17" x14ac:dyDescent="0.25">
      <c r="A3" s="97"/>
      <c r="B3" s="195" t="s">
        <v>53</v>
      </c>
      <c r="C3" s="195"/>
      <c r="D3" s="195" t="s">
        <v>54</v>
      </c>
      <c r="E3" s="195"/>
      <c r="F3" s="97"/>
      <c r="G3" s="104"/>
      <c r="H3" s="104"/>
      <c r="I3" s="105"/>
      <c r="J3" s="105"/>
      <c r="K3" s="104"/>
      <c r="L3" s="104"/>
      <c r="M3" s="104"/>
      <c r="N3" s="104"/>
      <c r="O3" s="104"/>
      <c r="P3" s="104"/>
      <c r="Q3" s="104"/>
    </row>
    <row r="4" spans="1:17" x14ac:dyDescent="0.25">
      <c r="A4" s="106" t="s">
        <v>55</v>
      </c>
      <c r="B4" s="103" t="s">
        <v>56</v>
      </c>
      <c r="C4" s="103" t="s">
        <v>57</v>
      </c>
      <c r="D4" s="103" t="s">
        <v>56</v>
      </c>
      <c r="E4" s="103" t="s">
        <v>57</v>
      </c>
      <c r="F4" s="97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</row>
    <row r="5" spans="1:17" x14ac:dyDescent="0.25">
      <c r="A5" s="107" t="s">
        <v>58</v>
      </c>
      <c r="B5" s="104"/>
      <c r="C5" s="108"/>
      <c r="D5" s="104"/>
      <c r="E5" s="108"/>
      <c r="F5" s="97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</row>
    <row r="6" spans="1:17" x14ac:dyDescent="0.25">
      <c r="A6" s="107" t="s">
        <v>59</v>
      </c>
      <c r="B6" s="104"/>
      <c r="C6" s="108"/>
      <c r="D6" s="104"/>
      <c r="E6" s="108"/>
      <c r="F6" s="97"/>
      <c r="G6" s="98"/>
      <c r="H6" s="98"/>
      <c r="I6" s="98"/>
      <c r="J6" s="98"/>
      <c r="K6" s="98"/>
      <c r="L6" s="98"/>
      <c r="M6" s="98"/>
      <c r="N6" s="98"/>
      <c r="O6" s="97"/>
      <c r="P6" s="97"/>
    </row>
    <row r="7" spans="1:17" x14ac:dyDescent="0.25">
      <c r="A7" s="107" t="s">
        <v>60</v>
      </c>
      <c r="B7" s="104"/>
      <c r="C7" s="108"/>
      <c r="D7" s="109"/>
      <c r="E7" s="110"/>
      <c r="F7" s="97"/>
      <c r="G7" s="98"/>
      <c r="H7" s="98"/>
      <c r="I7" s="98"/>
      <c r="J7" s="98"/>
      <c r="K7" s="98"/>
      <c r="L7" s="98"/>
      <c r="M7" s="98"/>
      <c r="N7" s="98"/>
      <c r="O7" s="97"/>
      <c r="P7" s="97"/>
    </row>
    <row r="8" spans="1:17" x14ac:dyDescent="0.25">
      <c r="A8" s="107" t="s">
        <v>61</v>
      </c>
      <c r="B8" s="104"/>
      <c r="C8" s="108"/>
      <c r="D8" s="104"/>
      <c r="E8" s="108"/>
      <c r="F8" s="97"/>
      <c r="G8" s="98"/>
      <c r="H8" s="98"/>
      <c r="I8" s="98"/>
      <c r="J8" s="98"/>
      <c r="K8" s="98"/>
      <c r="L8" s="98"/>
      <c r="M8" s="98"/>
      <c r="N8" s="98"/>
      <c r="O8" s="97"/>
      <c r="P8" s="97"/>
    </row>
    <row r="9" spans="1:17" x14ac:dyDescent="0.25">
      <c r="A9" s="107" t="s">
        <v>62</v>
      </c>
      <c r="B9" s="104"/>
      <c r="C9" s="108"/>
      <c r="D9" s="109"/>
      <c r="E9" s="110"/>
      <c r="F9" s="97"/>
      <c r="G9" s="98"/>
      <c r="H9" s="98"/>
      <c r="I9" s="98"/>
      <c r="J9" s="98"/>
      <c r="K9" s="98"/>
      <c r="L9" s="98"/>
      <c r="M9" s="98"/>
      <c r="N9" s="98"/>
      <c r="O9" s="97"/>
      <c r="P9" s="97"/>
    </row>
    <row r="10" spans="1:17" x14ac:dyDescent="0.25">
      <c r="A10" s="107" t="s">
        <v>63</v>
      </c>
      <c r="B10" s="104"/>
      <c r="C10" s="108"/>
      <c r="D10" s="104"/>
      <c r="E10" s="108"/>
      <c r="F10" s="97"/>
      <c r="G10" s="98"/>
      <c r="H10" s="98"/>
      <c r="I10" s="98"/>
      <c r="J10" s="98"/>
      <c r="K10" s="98"/>
      <c r="L10" s="98"/>
      <c r="M10" s="98"/>
      <c r="N10" s="98"/>
      <c r="O10" s="97"/>
      <c r="P10" s="97"/>
    </row>
    <row r="11" spans="1:17" x14ac:dyDescent="0.25">
      <c r="A11" s="97"/>
      <c r="B11" s="111"/>
      <c r="C11" s="112"/>
      <c r="D11" s="111"/>
      <c r="E11" s="112"/>
      <c r="F11" s="97"/>
      <c r="G11" s="98"/>
      <c r="H11" s="98"/>
      <c r="I11" s="98"/>
      <c r="J11" s="98"/>
      <c r="K11" s="98"/>
      <c r="L11" s="98"/>
      <c r="M11" s="98"/>
      <c r="N11" s="98"/>
      <c r="O11" s="97"/>
      <c r="P11" s="97"/>
    </row>
    <row r="12" spans="1:17" x14ac:dyDescent="0.25">
      <c r="A12" s="97"/>
      <c r="B12" s="195" t="s">
        <v>53</v>
      </c>
      <c r="C12" s="195"/>
      <c r="D12" s="195" t="s">
        <v>54</v>
      </c>
      <c r="E12" s="195"/>
      <c r="F12" s="97"/>
      <c r="G12" s="98"/>
      <c r="H12" s="98"/>
      <c r="I12" s="98"/>
      <c r="J12" s="98"/>
      <c r="K12" s="98"/>
      <c r="L12" s="98"/>
      <c r="M12" s="98"/>
      <c r="N12" s="98"/>
      <c r="O12" s="97"/>
      <c r="P12" s="97"/>
    </row>
    <row r="13" spans="1:17" x14ac:dyDescent="0.25">
      <c r="A13" s="106" t="s">
        <v>64</v>
      </c>
      <c r="B13" s="103" t="s">
        <v>56</v>
      </c>
      <c r="C13" s="103" t="s">
        <v>57</v>
      </c>
      <c r="D13" s="103" t="s">
        <v>56</v>
      </c>
      <c r="E13" s="103" t="s">
        <v>57</v>
      </c>
      <c r="F13" s="97"/>
      <c r="G13" s="98"/>
      <c r="H13" s="98"/>
      <c r="I13" s="98"/>
      <c r="J13" s="98"/>
      <c r="K13" s="98"/>
      <c r="L13" s="98"/>
      <c r="M13" s="98"/>
      <c r="N13" s="98"/>
      <c r="O13" s="97"/>
      <c r="P13" s="97"/>
    </row>
    <row r="14" spans="1:17" x14ac:dyDescent="0.25">
      <c r="A14" s="107" t="s">
        <v>65</v>
      </c>
      <c r="B14" s="105"/>
      <c r="C14" s="105"/>
      <c r="D14" s="105"/>
      <c r="E14" s="105"/>
      <c r="F14" s="97"/>
      <c r="G14" s="98"/>
      <c r="H14" s="98"/>
      <c r="I14" s="98"/>
      <c r="J14" s="98"/>
      <c r="K14" s="98"/>
      <c r="L14" s="98"/>
      <c r="M14" s="98"/>
      <c r="N14" s="98"/>
      <c r="O14" s="97"/>
      <c r="P14" s="97"/>
    </row>
    <row r="15" spans="1:17" x14ac:dyDescent="0.25">
      <c r="A15" s="107" t="s">
        <v>66</v>
      </c>
      <c r="B15" s="105"/>
      <c r="C15" s="105"/>
      <c r="D15" s="105"/>
      <c r="E15" s="105"/>
      <c r="F15" s="97"/>
      <c r="G15" s="98"/>
      <c r="H15" s="98"/>
      <c r="I15" s="98"/>
      <c r="J15" s="98"/>
      <c r="K15" s="98"/>
      <c r="L15" s="98"/>
      <c r="M15" s="98"/>
      <c r="N15" s="98"/>
      <c r="O15" s="97"/>
      <c r="P15" s="97"/>
    </row>
    <row r="16" spans="1:17" x14ac:dyDescent="0.25">
      <c r="A16" s="113"/>
      <c r="B16" s="98"/>
      <c r="C16" s="98"/>
      <c r="D16" s="98"/>
      <c r="E16" s="98"/>
      <c r="F16" s="97"/>
      <c r="G16" s="98"/>
      <c r="H16" s="98"/>
      <c r="I16" s="98"/>
      <c r="J16" s="98"/>
      <c r="K16" s="98"/>
      <c r="L16" s="98"/>
      <c r="M16" s="98"/>
      <c r="N16" s="98"/>
      <c r="O16" s="97"/>
      <c r="P16" s="97"/>
    </row>
    <row r="17" spans="1:16" x14ac:dyDescent="0.25">
      <c r="A17" s="113"/>
      <c r="B17" s="98"/>
      <c r="C17" s="98"/>
      <c r="D17" s="98"/>
      <c r="E17" s="98"/>
      <c r="F17" s="97"/>
      <c r="G17" s="98"/>
      <c r="H17" s="98"/>
      <c r="I17" s="98"/>
      <c r="J17" s="98"/>
      <c r="K17" s="98"/>
      <c r="L17" s="98"/>
      <c r="M17" s="98"/>
      <c r="N17" s="98"/>
      <c r="O17" s="97"/>
      <c r="P17" s="97"/>
    </row>
    <row r="18" spans="1:16" x14ac:dyDescent="0.25">
      <c r="A18" s="114" t="s">
        <v>67</v>
      </c>
      <c r="B18" s="98"/>
      <c r="C18" s="98"/>
      <c r="D18" s="98"/>
      <c r="E18" s="98"/>
      <c r="F18" s="97"/>
      <c r="G18" s="115"/>
      <c r="H18" s="98"/>
      <c r="I18" s="98"/>
      <c r="J18" s="98"/>
      <c r="K18" s="98"/>
      <c r="L18" s="98"/>
      <c r="M18" s="98"/>
      <c r="N18" s="98"/>
      <c r="O18" s="97"/>
      <c r="P18" s="97"/>
    </row>
    <row r="19" spans="1:16" x14ac:dyDescent="0.25">
      <c r="A19" s="113" t="s">
        <v>68</v>
      </c>
      <c r="B19" s="98"/>
      <c r="C19" s="98"/>
      <c r="D19" s="98"/>
      <c r="E19" s="98"/>
      <c r="F19" s="97"/>
      <c r="G19" s="98"/>
      <c r="H19" s="98"/>
      <c r="I19" s="98"/>
      <c r="J19" s="98"/>
      <c r="K19" s="98"/>
      <c r="L19" s="98"/>
      <c r="M19" s="98"/>
      <c r="N19" s="98"/>
      <c r="O19" s="97"/>
      <c r="P19" s="97"/>
    </row>
    <row r="20" spans="1:16" x14ac:dyDescent="0.25">
      <c r="A20" s="116"/>
      <c r="B20" s="98"/>
      <c r="C20" s="98"/>
      <c r="D20" s="98"/>
      <c r="E20" s="98"/>
      <c r="F20" s="97"/>
      <c r="G20" s="98"/>
      <c r="H20" s="98"/>
      <c r="I20" s="98"/>
      <c r="J20" s="98"/>
      <c r="K20" s="98"/>
      <c r="L20" s="98"/>
      <c r="M20" s="98"/>
      <c r="N20" s="98"/>
      <c r="O20" s="97"/>
      <c r="P20" s="97"/>
    </row>
    <row r="21" spans="1:16" x14ac:dyDescent="0.25">
      <c r="A21" s="117" t="s">
        <v>69</v>
      </c>
      <c r="B21" s="98"/>
      <c r="C21" s="98"/>
      <c r="D21" s="98"/>
      <c r="E21" s="98"/>
      <c r="F21" s="97"/>
      <c r="G21" s="98"/>
      <c r="H21" s="98"/>
      <c r="I21" s="118"/>
      <c r="J21" s="118"/>
      <c r="K21" s="98"/>
      <c r="L21" s="98"/>
      <c r="M21" s="98"/>
      <c r="N21" s="98"/>
      <c r="O21" s="97"/>
      <c r="P21" s="97"/>
    </row>
  </sheetData>
  <mergeCells count="4">
    <mergeCell ref="B3:C3"/>
    <mergeCell ref="D3:E3"/>
    <mergeCell ref="B12:C12"/>
    <mergeCell ref="D12:E12"/>
  </mergeCells>
  <hyperlinks>
    <hyperlink ref="A2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6"/>
  <sheetViews>
    <sheetView workbookViewId="0">
      <selection sqref="A1:XFD1048576"/>
    </sheetView>
  </sheetViews>
  <sheetFormatPr defaultRowHeight="15" x14ac:dyDescent="0.25"/>
  <cols>
    <col min="1" max="1" width="35" bestFit="1" customWidth="1"/>
    <col min="7" max="7" width="17.5703125" customWidth="1"/>
    <col min="8" max="8" width="11.140625" customWidth="1"/>
    <col min="9" max="9" width="8.28515625" bestFit="1" customWidth="1"/>
    <col min="10" max="10" width="12.28515625" bestFit="1" customWidth="1"/>
    <col min="11" max="11" width="9" bestFit="1" customWidth="1"/>
    <col min="12" max="12" width="10.85546875" bestFit="1" customWidth="1"/>
    <col min="13" max="13" width="10.5703125" customWidth="1"/>
    <col min="14" max="14" width="12.42578125" bestFit="1" customWidth="1"/>
    <col min="15" max="15" width="14.140625" customWidth="1"/>
    <col min="16" max="25" width="17.5703125" customWidth="1"/>
  </cols>
  <sheetData>
    <row r="1" spans="1:27" ht="15.75" customHeight="1" x14ac:dyDescent="0.25">
      <c r="A1" s="97"/>
      <c r="B1" s="98"/>
      <c r="C1" s="98"/>
      <c r="D1" s="98"/>
      <c r="E1" s="98"/>
      <c r="F1" s="97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196" t="s">
        <v>70</v>
      </c>
      <c r="W1" s="197"/>
      <c r="X1" s="198"/>
      <c r="Y1" s="119" t="s">
        <v>71</v>
      </c>
      <c r="Z1" s="97"/>
      <c r="AA1" s="97"/>
    </row>
    <row r="2" spans="1:27" ht="51" x14ac:dyDescent="0.25">
      <c r="A2" s="99" t="s">
        <v>41</v>
      </c>
      <c r="B2" s="98"/>
      <c r="C2" s="98"/>
      <c r="D2" s="98"/>
      <c r="E2" s="98"/>
      <c r="F2" s="97"/>
      <c r="G2" s="100" t="s">
        <v>42</v>
      </c>
      <c r="H2" s="100" t="s">
        <v>43</v>
      </c>
      <c r="I2" s="100" t="s">
        <v>72</v>
      </c>
      <c r="J2" s="100" t="s">
        <v>73</v>
      </c>
      <c r="K2" s="100" t="s">
        <v>74</v>
      </c>
      <c r="L2" s="100" t="s">
        <v>47</v>
      </c>
      <c r="M2" s="100" t="s">
        <v>48</v>
      </c>
      <c r="N2" s="101" t="s">
        <v>49</v>
      </c>
      <c r="O2" s="101" t="s">
        <v>50</v>
      </c>
      <c r="P2" s="120" t="s">
        <v>75</v>
      </c>
      <c r="Q2" s="120" t="s">
        <v>76</v>
      </c>
      <c r="R2" s="120" t="s">
        <v>77</v>
      </c>
      <c r="S2" s="120" t="s">
        <v>78</v>
      </c>
      <c r="T2" s="121" t="s">
        <v>79</v>
      </c>
      <c r="U2" s="122" t="s">
        <v>80</v>
      </c>
      <c r="V2" s="123" t="s">
        <v>81</v>
      </c>
      <c r="W2" s="123" t="s">
        <v>82</v>
      </c>
      <c r="X2" s="124" t="s">
        <v>83</v>
      </c>
      <c r="Y2" s="125"/>
      <c r="Z2" s="97"/>
      <c r="AA2" s="97"/>
    </row>
    <row r="3" spans="1:27" x14ac:dyDescent="0.25">
      <c r="A3" s="113"/>
      <c r="B3" s="195" t="s">
        <v>53</v>
      </c>
      <c r="C3" s="195"/>
      <c r="D3" s="195" t="s">
        <v>54</v>
      </c>
      <c r="E3" s="195"/>
      <c r="F3" s="97"/>
      <c r="G3" s="104"/>
      <c r="H3" s="104"/>
      <c r="I3" s="104"/>
      <c r="J3" s="105"/>
      <c r="K3" s="105"/>
      <c r="L3" s="104"/>
      <c r="M3" s="104"/>
      <c r="N3" s="104"/>
      <c r="O3" s="104"/>
      <c r="P3" s="126"/>
      <c r="Q3" s="127"/>
      <c r="R3" s="127"/>
      <c r="S3" s="127"/>
      <c r="T3" s="128"/>
      <c r="U3" s="129"/>
      <c r="V3" s="130" t="str">
        <f>IFERROR(IF(P3="","",K3),"")</f>
        <v/>
      </c>
      <c r="W3" s="130" t="str">
        <f>IFERROR(IF(U3="","",U3),"")</f>
        <v/>
      </c>
      <c r="X3" s="131"/>
      <c r="Y3" s="132"/>
      <c r="Z3" s="97"/>
      <c r="AA3" s="97"/>
    </row>
    <row r="4" spans="1:27" x14ac:dyDescent="0.25">
      <c r="A4" s="106" t="s">
        <v>84</v>
      </c>
      <c r="B4" s="103" t="s">
        <v>56</v>
      </c>
      <c r="C4" s="103" t="s">
        <v>57</v>
      </c>
      <c r="D4" s="103" t="s">
        <v>56</v>
      </c>
      <c r="E4" s="103" t="s">
        <v>57</v>
      </c>
      <c r="F4" s="97"/>
      <c r="G4" s="104"/>
      <c r="H4" s="104"/>
      <c r="I4" s="104"/>
      <c r="J4" s="104"/>
      <c r="K4" s="104"/>
      <c r="L4" s="104"/>
      <c r="M4" s="104"/>
      <c r="N4" s="104"/>
      <c r="O4" s="104"/>
      <c r="P4" s="127"/>
      <c r="Q4" s="127"/>
      <c r="R4" s="127"/>
      <c r="S4" s="127"/>
      <c r="T4" s="128"/>
      <c r="U4" s="129"/>
      <c r="V4" s="130" t="str">
        <f t="shared" ref="V4:V16" si="0">IFERROR(IF(P4="","",K4),"")</f>
        <v/>
      </c>
      <c r="W4" s="130" t="str">
        <f t="shared" ref="W4:W16" si="1">IFERROR(IF(U4="","",U4),"")</f>
        <v/>
      </c>
      <c r="X4" s="131"/>
      <c r="Y4" s="132"/>
      <c r="Z4" s="97"/>
      <c r="AA4" s="97"/>
    </row>
    <row r="5" spans="1:27" x14ac:dyDescent="0.25">
      <c r="A5" s="107" t="s">
        <v>59</v>
      </c>
      <c r="B5" s="104"/>
      <c r="C5" s="108"/>
      <c r="D5" s="109"/>
      <c r="E5" s="110"/>
      <c r="F5" s="97"/>
      <c r="G5" s="104"/>
      <c r="H5" s="104"/>
      <c r="I5" s="104"/>
      <c r="J5" s="104"/>
      <c r="K5" s="104"/>
      <c r="L5" s="104"/>
      <c r="M5" s="104"/>
      <c r="N5" s="104"/>
      <c r="O5" s="104"/>
      <c r="P5" s="127"/>
      <c r="Q5" s="127"/>
      <c r="R5" s="127"/>
      <c r="S5" s="127"/>
      <c r="T5" s="128"/>
      <c r="U5" s="129"/>
      <c r="V5" s="130" t="str">
        <f t="shared" si="0"/>
        <v/>
      </c>
      <c r="W5" s="130" t="str">
        <f t="shared" si="1"/>
        <v/>
      </c>
      <c r="X5" s="131"/>
      <c r="Y5" s="132"/>
      <c r="Z5" s="97"/>
      <c r="AA5" s="97"/>
    </row>
    <row r="6" spans="1:27" x14ac:dyDescent="0.25">
      <c r="A6" s="107" t="s">
        <v>60</v>
      </c>
      <c r="B6" s="104"/>
      <c r="C6" s="108"/>
      <c r="D6" s="109"/>
      <c r="E6" s="110"/>
      <c r="F6" s="97"/>
      <c r="G6" s="104"/>
      <c r="H6" s="104"/>
      <c r="I6" s="104"/>
      <c r="J6" s="104"/>
      <c r="K6" s="104"/>
      <c r="L6" s="104"/>
      <c r="M6" s="104"/>
      <c r="N6" s="104"/>
      <c r="O6" s="104"/>
      <c r="P6" s="127"/>
      <c r="Q6" s="127"/>
      <c r="R6" s="127"/>
      <c r="S6" s="127"/>
      <c r="T6" s="133"/>
      <c r="U6" s="129"/>
      <c r="V6" s="130" t="str">
        <f t="shared" si="0"/>
        <v/>
      </c>
      <c r="W6" s="130" t="str">
        <f t="shared" si="1"/>
        <v/>
      </c>
      <c r="X6" s="131"/>
      <c r="Y6" s="132"/>
      <c r="Z6" s="97"/>
      <c r="AA6" s="97"/>
    </row>
    <row r="7" spans="1:27" x14ac:dyDescent="0.25">
      <c r="A7" s="107" t="s">
        <v>85</v>
      </c>
      <c r="B7" s="104"/>
      <c r="C7" s="108"/>
      <c r="D7" s="104"/>
      <c r="E7" s="108"/>
      <c r="F7" s="97"/>
      <c r="G7" s="104"/>
      <c r="H7" s="104"/>
      <c r="I7" s="104"/>
      <c r="J7" s="104"/>
      <c r="K7" s="104"/>
      <c r="L7" s="104"/>
      <c r="M7" s="104"/>
      <c r="N7" s="104"/>
      <c r="O7" s="104"/>
      <c r="P7" s="127"/>
      <c r="Q7" s="127"/>
      <c r="R7" s="127"/>
      <c r="S7" s="127"/>
      <c r="T7" s="133"/>
      <c r="U7" s="129"/>
      <c r="V7" s="130" t="str">
        <f t="shared" si="0"/>
        <v/>
      </c>
      <c r="W7" s="130" t="str">
        <f t="shared" si="1"/>
        <v/>
      </c>
      <c r="X7" s="131"/>
      <c r="Y7" s="132"/>
      <c r="Z7" s="97"/>
      <c r="AA7" s="97"/>
    </row>
    <row r="8" spans="1:27" x14ac:dyDescent="0.25">
      <c r="A8" s="107" t="s">
        <v>62</v>
      </c>
      <c r="B8" s="104"/>
      <c r="C8" s="108"/>
      <c r="D8" s="109"/>
      <c r="E8" s="110"/>
      <c r="F8" s="97"/>
      <c r="G8" s="104"/>
      <c r="H8" s="104"/>
      <c r="I8" s="104"/>
      <c r="J8" s="104"/>
      <c r="K8" s="104"/>
      <c r="L8" s="104"/>
      <c r="M8" s="104"/>
      <c r="N8" s="104"/>
      <c r="O8" s="104"/>
      <c r="P8" s="127"/>
      <c r="Q8" s="127"/>
      <c r="R8" s="127"/>
      <c r="S8" s="127"/>
      <c r="T8" s="133"/>
      <c r="U8" s="129"/>
      <c r="V8" s="130" t="str">
        <f t="shared" si="0"/>
        <v/>
      </c>
      <c r="W8" s="130" t="str">
        <f t="shared" si="1"/>
        <v/>
      </c>
      <c r="X8" s="131"/>
      <c r="Y8" s="132"/>
      <c r="Z8" s="97"/>
      <c r="AA8" s="97"/>
    </row>
    <row r="9" spans="1:27" x14ac:dyDescent="0.25">
      <c r="A9" s="107" t="s">
        <v>86</v>
      </c>
      <c r="B9" s="104"/>
      <c r="C9" s="108"/>
      <c r="D9" s="104"/>
      <c r="E9" s="108"/>
      <c r="F9" s="97"/>
      <c r="G9" s="104"/>
      <c r="H9" s="104"/>
      <c r="I9" s="104"/>
      <c r="J9" s="104"/>
      <c r="K9" s="104"/>
      <c r="L9" s="104"/>
      <c r="M9" s="104"/>
      <c r="N9" s="104"/>
      <c r="O9" s="104"/>
      <c r="P9" s="127"/>
      <c r="Q9" s="127"/>
      <c r="R9" s="127"/>
      <c r="S9" s="127"/>
      <c r="T9" s="133"/>
      <c r="U9" s="129"/>
      <c r="V9" s="130" t="str">
        <f t="shared" si="0"/>
        <v/>
      </c>
      <c r="W9" s="130" t="str">
        <f t="shared" si="1"/>
        <v/>
      </c>
      <c r="X9" s="131"/>
      <c r="Y9" s="132"/>
      <c r="Z9" s="97"/>
      <c r="AA9" s="97"/>
    </row>
    <row r="10" spans="1:27" x14ac:dyDescent="0.25">
      <c r="A10" s="97"/>
      <c r="B10" s="98"/>
      <c r="C10" s="98"/>
      <c r="D10" s="98"/>
      <c r="E10" s="98"/>
      <c r="F10" s="97"/>
      <c r="G10" s="104"/>
      <c r="H10" s="104"/>
      <c r="I10" s="104"/>
      <c r="J10" s="104"/>
      <c r="K10" s="104"/>
      <c r="L10" s="104"/>
      <c r="M10" s="104"/>
      <c r="N10" s="104"/>
      <c r="O10" s="104"/>
      <c r="P10" s="127"/>
      <c r="Q10" s="127"/>
      <c r="R10" s="127"/>
      <c r="S10" s="127"/>
      <c r="T10" s="133"/>
      <c r="U10" s="129"/>
      <c r="V10" s="130" t="str">
        <f t="shared" si="0"/>
        <v/>
      </c>
      <c r="W10" s="130" t="str">
        <f t="shared" si="1"/>
        <v/>
      </c>
      <c r="X10" s="131"/>
      <c r="Y10" s="132"/>
      <c r="Z10" s="97"/>
      <c r="AA10" s="97"/>
    </row>
    <row r="11" spans="1:27" x14ac:dyDescent="0.25">
      <c r="A11" s="97"/>
      <c r="B11" s="98"/>
      <c r="C11" s="98"/>
      <c r="D11" s="98"/>
      <c r="E11" s="98"/>
      <c r="F11" s="97"/>
      <c r="G11" s="104"/>
      <c r="H11" s="104"/>
      <c r="I11" s="104"/>
      <c r="J11" s="105"/>
      <c r="K11" s="105"/>
      <c r="L11" s="104"/>
      <c r="M11" s="104"/>
      <c r="N11" s="104"/>
      <c r="O11" s="104"/>
      <c r="P11" s="127"/>
      <c r="Q11" s="127"/>
      <c r="R11" s="127"/>
      <c r="S11" s="127"/>
      <c r="T11" s="133"/>
      <c r="U11" s="129"/>
      <c r="V11" s="130" t="str">
        <f t="shared" si="0"/>
        <v/>
      </c>
      <c r="W11" s="130" t="str">
        <f t="shared" si="1"/>
        <v/>
      </c>
      <c r="X11" s="131"/>
      <c r="Y11" s="132"/>
      <c r="Z11" s="97"/>
      <c r="AA11" s="97"/>
    </row>
    <row r="12" spans="1:27" x14ac:dyDescent="0.25">
      <c r="A12" s="97"/>
      <c r="B12" s="195" t="s">
        <v>87</v>
      </c>
      <c r="C12" s="195"/>
      <c r="D12" s="195" t="s">
        <v>88</v>
      </c>
      <c r="E12" s="195"/>
      <c r="F12" s="97"/>
      <c r="G12" s="104"/>
      <c r="H12" s="104"/>
      <c r="I12" s="104"/>
      <c r="J12" s="105"/>
      <c r="K12" s="105"/>
      <c r="L12" s="104"/>
      <c r="M12" s="104"/>
      <c r="N12" s="104"/>
      <c r="O12" s="104"/>
      <c r="P12" s="127"/>
      <c r="Q12" s="127"/>
      <c r="R12" s="127"/>
      <c r="S12" s="127"/>
      <c r="T12" s="133"/>
      <c r="U12" s="129"/>
      <c r="V12" s="130" t="str">
        <f t="shared" si="0"/>
        <v/>
      </c>
      <c r="W12" s="130" t="str">
        <f t="shared" si="1"/>
        <v/>
      </c>
      <c r="X12" s="131"/>
      <c r="Y12" s="132"/>
      <c r="Z12" s="97"/>
      <c r="AA12" s="97"/>
    </row>
    <row r="13" spans="1:27" x14ac:dyDescent="0.25">
      <c r="A13" s="106" t="s">
        <v>89</v>
      </c>
      <c r="B13" s="103" t="s">
        <v>56</v>
      </c>
      <c r="C13" s="103" t="s">
        <v>57</v>
      </c>
      <c r="D13" s="103" t="s">
        <v>56</v>
      </c>
      <c r="E13" s="103" t="s">
        <v>57</v>
      </c>
      <c r="F13" s="97"/>
      <c r="G13" s="104"/>
      <c r="H13" s="104"/>
      <c r="I13" s="104"/>
      <c r="J13" s="104"/>
      <c r="K13" s="104"/>
      <c r="L13" s="104"/>
      <c r="M13" s="104"/>
      <c r="N13" s="104"/>
      <c r="O13" s="104"/>
      <c r="P13" s="127"/>
      <c r="Q13" s="127"/>
      <c r="R13" s="127"/>
      <c r="S13" s="127"/>
      <c r="T13" s="133"/>
      <c r="U13" s="129"/>
      <c r="V13" s="130" t="str">
        <f t="shared" si="0"/>
        <v/>
      </c>
      <c r="W13" s="130" t="str">
        <f t="shared" si="1"/>
        <v/>
      </c>
      <c r="X13" s="131"/>
      <c r="Y13" s="132"/>
      <c r="Z13" s="97"/>
      <c r="AA13" s="97"/>
    </row>
    <row r="14" spans="1:27" x14ac:dyDescent="0.25">
      <c r="A14" s="134" t="s">
        <v>65</v>
      </c>
      <c r="B14" s="104"/>
      <c r="C14" s="108"/>
      <c r="D14" s="105"/>
      <c r="E14" s="105"/>
      <c r="F14" s="97"/>
      <c r="G14" s="104"/>
      <c r="H14" s="104"/>
      <c r="I14" s="104"/>
      <c r="J14" s="104"/>
      <c r="K14" s="104"/>
      <c r="L14" s="104"/>
      <c r="M14" s="104"/>
      <c r="N14" s="104"/>
      <c r="O14" s="104"/>
      <c r="P14" s="127"/>
      <c r="Q14" s="127"/>
      <c r="R14" s="127"/>
      <c r="S14" s="127"/>
      <c r="T14" s="133"/>
      <c r="U14" s="129"/>
      <c r="V14" s="130" t="str">
        <f t="shared" si="0"/>
        <v/>
      </c>
      <c r="W14" s="130" t="str">
        <f t="shared" si="1"/>
        <v/>
      </c>
      <c r="X14" s="131"/>
      <c r="Y14" s="132"/>
      <c r="Z14" s="97"/>
      <c r="AA14" s="97"/>
    </row>
    <row r="15" spans="1:27" x14ac:dyDescent="0.25">
      <c r="A15" s="132" t="s">
        <v>66</v>
      </c>
      <c r="B15" s="104"/>
      <c r="C15" s="108"/>
      <c r="D15" s="105"/>
      <c r="E15" s="105"/>
      <c r="F15" s="97"/>
      <c r="G15" s="104"/>
      <c r="H15" s="104"/>
      <c r="I15" s="104"/>
      <c r="J15" s="104"/>
      <c r="K15" s="104"/>
      <c r="L15" s="104"/>
      <c r="M15" s="104"/>
      <c r="N15" s="104"/>
      <c r="O15" s="104"/>
      <c r="P15" s="127"/>
      <c r="Q15" s="127"/>
      <c r="R15" s="127"/>
      <c r="S15" s="127"/>
      <c r="T15" s="128"/>
      <c r="U15" s="129"/>
      <c r="V15" s="130" t="str">
        <f t="shared" si="0"/>
        <v/>
      </c>
      <c r="W15" s="130" t="str">
        <f t="shared" si="1"/>
        <v/>
      </c>
      <c r="X15" s="131"/>
      <c r="Y15" s="132"/>
      <c r="Z15" s="97"/>
      <c r="AA15" s="97"/>
    </row>
    <row r="16" spans="1:27" x14ac:dyDescent="0.25">
      <c r="A16" s="97"/>
      <c r="B16" s="98"/>
      <c r="C16" s="98"/>
      <c r="D16" s="98"/>
      <c r="E16" s="98"/>
      <c r="F16" s="97"/>
      <c r="G16" s="104"/>
      <c r="H16" s="104"/>
      <c r="I16" s="104"/>
      <c r="J16" s="104"/>
      <c r="K16" s="104"/>
      <c r="L16" s="104"/>
      <c r="M16" s="104"/>
      <c r="N16" s="104"/>
      <c r="O16" s="104"/>
      <c r="P16" s="127"/>
      <c r="Q16" s="127"/>
      <c r="R16" s="127"/>
      <c r="S16" s="127"/>
      <c r="T16" s="128"/>
      <c r="U16" s="129"/>
      <c r="V16" s="130" t="str">
        <f t="shared" si="0"/>
        <v/>
      </c>
      <c r="W16" s="130" t="str">
        <f t="shared" si="1"/>
        <v/>
      </c>
      <c r="X16" s="131"/>
      <c r="Y16" s="132"/>
      <c r="Z16" s="97"/>
      <c r="AA16" s="97"/>
    </row>
    <row r="17" spans="1:27" x14ac:dyDescent="0.25">
      <c r="A17" s="97"/>
      <c r="B17" s="98"/>
      <c r="C17" s="98"/>
      <c r="D17" s="98"/>
      <c r="E17" s="98"/>
      <c r="F17" s="97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7"/>
      <c r="Z17" s="97"/>
      <c r="AA17" s="97"/>
    </row>
    <row r="18" spans="1:27" x14ac:dyDescent="0.25">
      <c r="A18" s="135" t="s">
        <v>67</v>
      </c>
      <c r="B18" s="98"/>
      <c r="C18" s="98"/>
      <c r="D18" s="98"/>
      <c r="E18" s="98"/>
      <c r="F18" s="97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7"/>
      <c r="Z18" s="97"/>
      <c r="AA18" s="97"/>
    </row>
    <row r="19" spans="1:27" x14ac:dyDescent="0.25">
      <c r="A19" s="113" t="s">
        <v>68</v>
      </c>
      <c r="B19" s="98"/>
      <c r="C19" s="98"/>
      <c r="D19" s="98"/>
      <c r="E19" s="98"/>
      <c r="F19" s="97"/>
      <c r="G19" s="115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7"/>
      <c r="Z19" s="97"/>
      <c r="AA19" s="97"/>
    </row>
    <row r="20" spans="1:27" x14ac:dyDescent="0.25">
      <c r="A20" s="116"/>
      <c r="B20" s="98"/>
      <c r="C20" s="98"/>
      <c r="D20" s="98"/>
      <c r="E20" s="98"/>
      <c r="F20" s="97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7"/>
      <c r="Z20" s="97"/>
      <c r="AA20" s="97"/>
    </row>
    <row r="21" spans="1:27" x14ac:dyDescent="0.25">
      <c r="A21" s="116"/>
      <c r="B21" s="98"/>
      <c r="C21" s="98"/>
      <c r="D21" s="98"/>
      <c r="E21" s="98"/>
      <c r="F21" s="97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7"/>
      <c r="Z21" s="97"/>
      <c r="AA21" s="97"/>
    </row>
    <row r="22" spans="1:27" x14ac:dyDescent="0.25">
      <c r="A22" s="116"/>
      <c r="B22" s="98"/>
      <c r="C22" s="98"/>
      <c r="D22" s="98"/>
      <c r="E22" s="98"/>
      <c r="F22" s="97"/>
      <c r="G22" s="98"/>
      <c r="H22" s="98"/>
      <c r="I22" s="98"/>
      <c r="J22" s="118"/>
      <c r="K22" s="11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7"/>
      <c r="Z22" s="97"/>
      <c r="AA22" s="97"/>
    </row>
    <row r="23" spans="1:27" x14ac:dyDescent="0.25">
      <c r="A23" s="116"/>
      <c r="B23" s="116"/>
      <c r="C23" s="98"/>
      <c r="D23" s="98"/>
      <c r="E23" s="98"/>
      <c r="F23" s="97"/>
      <c r="G23" s="98"/>
      <c r="H23" s="98"/>
      <c r="I23" s="98"/>
      <c r="J23" s="118"/>
      <c r="K23" s="11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7"/>
      <c r="Z23" s="97"/>
      <c r="AA23" s="97"/>
    </row>
    <row r="24" spans="1:27" x14ac:dyDescent="0.25">
      <c r="A24" s="97"/>
      <c r="B24" s="136"/>
      <c r="C24" s="98"/>
      <c r="D24" s="98"/>
      <c r="E24" s="98"/>
      <c r="F24" s="97"/>
      <c r="G24" s="98"/>
      <c r="H24" s="98"/>
      <c r="I24" s="111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7"/>
      <c r="Z24" s="97"/>
      <c r="AA24" s="97"/>
    </row>
    <row r="25" spans="1:27" x14ac:dyDescent="0.25">
      <c r="A25" s="97"/>
      <c r="B25" s="98"/>
      <c r="C25" s="98"/>
      <c r="D25" s="98"/>
      <c r="E25" s="98"/>
      <c r="F25" s="97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7"/>
      <c r="Z25" s="97"/>
      <c r="AA25" s="97"/>
    </row>
    <row r="26" spans="1:27" x14ac:dyDescent="0.25">
      <c r="A26" s="97"/>
      <c r="B26" s="98"/>
      <c r="C26" s="98"/>
      <c r="D26" s="98"/>
      <c r="E26" s="98"/>
      <c r="F26" s="97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7"/>
      <c r="Z26" s="97"/>
      <c r="AA26" s="97"/>
    </row>
  </sheetData>
  <mergeCells count="5">
    <mergeCell ref="B3:C3"/>
    <mergeCell ref="D3:E3"/>
    <mergeCell ref="B12:C12"/>
    <mergeCell ref="D12:E12"/>
    <mergeCell ref="V1:X1"/>
  </mergeCells>
  <dataValidations count="2">
    <dataValidation type="list" allowBlank="1" showInputMessage="1" showErrorMessage="1" sqref="T3:T16">
      <formula1>"Mat,Pat"</formula1>
    </dataValidation>
    <dataValidation type="list" allowBlank="1" showInputMessage="1" showErrorMessage="1" sqref="U3:U16">
      <formula1>"Normal,Carrier,Affected,Abnormal,Undetermined"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9"/>
  <sheetViews>
    <sheetView workbookViewId="0"/>
  </sheetViews>
  <sheetFormatPr defaultRowHeight="15" x14ac:dyDescent="0.25"/>
  <cols>
    <col min="1" max="1" width="16.85546875" customWidth="1"/>
  </cols>
  <sheetData>
    <row r="1" spans="1:14" x14ac:dyDescent="0.25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4" x14ac:dyDescent="0.25">
      <c r="A2" s="10" t="s">
        <v>90</v>
      </c>
      <c r="B2" s="11"/>
      <c r="C2" s="12"/>
      <c r="D2" s="12"/>
      <c r="E2" s="10" t="s">
        <v>91</v>
      </c>
      <c r="F2" s="13" t="s">
        <v>92</v>
      </c>
      <c r="G2" s="12"/>
      <c r="H2" s="9"/>
      <c r="I2" s="14" t="s">
        <v>93</v>
      </c>
      <c r="J2" s="15"/>
      <c r="K2" s="12"/>
      <c r="L2" s="12"/>
      <c r="M2" s="12" t="s">
        <v>94</v>
      </c>
      <c r="N2" s="12"/>
    </row>
    <row r="3" spans="1:14" x14ac:dyDescent="0.25">
      <c r="A3" s="10" t="s">
        <v>95</v>
      </c>
      <c r="B3" s="11"/>
      <c r="C3" s="9"/>
      <c r="D3" s="9"/>
      <c r="E3" s="9"/>
      <c r="F3" s="9"/>
      <c r="G3" s="9"/>
      <c r="H3" s="9"/>
      <c r="I3" s="9"/>
      <c r="J3" s="9"/>
      <c r="K3" s="9"/>
      <c r="L3" s="9"/>
      <c r="M3" s="16">
        <v>1</v>
      </c>
      <c r="N3" s="17" t="s">
        <v>96</v>
      </c>
    </row>
    <row r="4" spans="1:14" x14ac:dyDescent="0.25">
      <c r="A4" s="18" t="s">
        <v>97</v>
      </c>
      <c r="B4" s="11"/>
      <c r="C4" s="9"/>
      <c r="D4" s="19" t="s">
        <v>98</v>
      </c>
      <c r="E4" s="9"/>
      <c r="F4" s="9"/>
      <c r="G4" s="9"/>
      <c r="H4" s="9"/>
      <c r="I4" s="9"/>
      <c r="J4" s="9"/>
      <c r="K4" s="9"/>
      <c r="L4" s="9"/>
      <c r="M4" s="16">
        <v>2</v>
      </c>
      <c r="N4" s="20" t="s">
        <v>99</v>
      </c>
    </row>
    <row r="5" spans="1:14" x14ac:dyDescent="0.25">
      <c r="A5" s="10" t="s">
        <v>100</v>
      </c>
      <c r="B5" s="21"/>
      <c r="C5" s="9"/>
      <c r="D5" s="9"/>
      <c r="E5" s="9"/>
      <c r="F5" s="9"/>
      <c r="G5" s="9"/>
      <c r="H5" s="9"/>
      <c r="I5" s="9"/>
      <c r="J5" s="9"/>
      <c r="K5" s="9"/>
      <c r="L5" s="9"/>
      <c r="M5" s="22">
        <v>3</v>
      </c>
      <c r="N5" s="23" t="s">
        <v>101</v>
      </c>
    </row>
    <row r="6" spans="1:14" x14ac:dyDescent="0.25">
      <c r="A6" s="9"/>
      <c r="B6" s="9"/>
      <c r="C6" s="9"/>
      <c r="D6" s="24" t="s">
        <v>102</v>
      </c>
      <c r="E6" s="9"/>
      <c r="F6" s="9"/>
      <c r="G6" s="9"/>
      <c r="H6" s="9"/>
      <c r="I6" s="9"/>
      <c r="J6" s="9"/>
      <c r="K6" s="9"/>
      <c r="L6" s="9"/>
      <c r="M6" s="25">
        <v>4</v>
      </c>
      <c r="N6" s="26" t="s">
        <v>103</v>
      </c>
    </row>
    <row r="7" spans="1:14" x14ac:dyDescent="0.25">
      <c r="A7" s="10" t="s">
        <v>104</v>
      </c>
      <c r="B7" s="11"/>
      <c r="C7" s="9"/>
      <c r="D7" s="27" t="s">
        <v>105</v>
      </c>
      <c r="E7" s="9"/>
      <c r="F7" s="9"/>
      <c r="G7" s="9"/>
      <c r="H7" s="9"/>
      <c r="I7" s="9"/>
      <c r="J7" s="9"/>
      <c r="K7" s="9"/>
      <c r="L7" s="9"/>
      <c r="M7" s="28"/>
      <c r="N7" s="9"/>
    </row>
    <row r="8" spans="1:14" x14ac:dyDescent="0.25">
      <c r="A8" s="10" t="s">
        <v>106</v>
      </c>
      <c r="B8" s="11"/>
      <c r="C8" s="19"/>
      <c r="D8" s="19"/>
      <c r="E8" s="9"/>
      <c r="F8" s="9"/>
      <c r="G8" s="9"/>
      <c r="H8" s="19"/>
      <c r="I8" s="9"/>
      <c r="J8" s="9"/>
      <c r="K8" s="9"/>
      <c r="L8" s="9"/>
      <c r="M8" s="28"/>
      <c r="N8" s="9"/>
    </row>
    <row r="9" spans="1:14" ht="15" customHeight="1" x14ac:dyDescent="0.25">
      <c r="A9" s="29"/>
      <c r="B9" s="9"/>
      <c r="C9" s="9"/>
      <c r="D9" s="209" t="s">
        <v>107</v>
      </c>
      <c r="E9" s="210"/>
      <c r="F9" s="211"/>
      <c r="G9" s="9"/>
      <c r="H9" s="212" t="s">
        <v>108</v>
      </c>
      <c r="I9" s="213"/>
      <c r="J9" s="214"/>
      <c r="K9" s="215" t="s">
        <v>109</v>
      </c>
      <c r="L9" s="9"/>
      <c r="M9" s="28"/>
      <c r="N9" s="9"/>
    </row>
    <row r="10" spans="1:14" ht="15" customHeight="1" x14ac:dyDescent="0.25">
      <c r="A10" s="217" t="s">
        <v>110</v>
      </c>
      <c r="B10" s="218"/>
      <c r="C10" s="219"/>
      <c r="D10" s="30" t="s">
        <v>111</v>
      </c>
      <c r="E10" s="31" t="s">
        <v>112</v>
      </c>
      <c r="F10" s="32" t="s">
        <v>71</v>
      </c>
      <c r="G10" s="9"/>
      <c r="H10" s="30" t="s">
        <v>111</v>
      </c>
      <c r="I10" s="31" t="s">
        <v>112</v>
      </c>
      <c r="J10" s="32" t="s">
        <v>71</v>
      </c>
      <c r="K10" s="216"/>
      <c r="L10" s="9"/>
      <c r="M10" s="9"/>
      <c r="N10" s="9"/>
    </row>
    <row r="11" spans="1:14" x14ac:dyDescent="0.25">
      <c r="A11" s="220"/>
      <c r="B11" s="221"/>
      <c r="C11" s="222"/>
      <c r="D11" s="33"/>
      <c r="E11" s="34"/>
      <c r="F11" s="35"/>
      <c r="G11" s="9"/>
      <c r="H11" s="33"/>
      <c r="I11" s="34"/>
      <c r="J11" s="35"/>
      <c r="K11" s="36"/>
      <c r="L11" s="9"/>
      <c r="M11" s="9"/>
      <c r="N11" s="9"/>
    </row>
    <row r="12" spans="1:14" x14ac:dyDescent="0.25">
      <c r="A12" s="199"/>
      <c r="B12" s="200"/>
      <c r="C12" s="201"/>
      <c r="D12" s="37"/>
      <c r="E12" s="38"/>
      <c r="F12" s="39"/>
      <c r="G12" s="9"/>
      <c r="H12" s="37"/>
      <c r="I12" s="38"/>
      <c r="J12" s="39"/>
      <c r="K12" s="40"/>
      <c r="L12" s="9"/>
      <c r="M12" s="9"/>
      <c r="N12" s="9"/>
    </row>
    <row r="13" spans="1:14" x14ac:dyDescent="0.25">
      <c r="A13" s="199"/>
      <c r="B13" s="200"/>
      <c r="C13" s="201"/>
      <c r="D13" s="37"/>
      <c r="E13" s="38"/>
      <c r="F13" s="39"/>
      <c r="G13" s="9"/>
      <c r="H13" s="37"/>
      <c r="I13" s="38"/>
      <c r="J13" s="39"/>
      <c r="K13" s="40"/>
      <c r="L13" s="9"/>
      <c r="M13" s="9"/>
      <c r="N13" s="9"/>
    </row>
    <row r="14" spans="1:14" x14ac:dyDescent="0.25">
      <c r="A14" s="199"/>
      <c r="B14" s="200"/>
      <c r="C14" s="201"/>
      <c r="D14" s="37"/>
      <c r="E14" s="38"/>
      <c r="F14" s="39"/>
      <c r="G14" s="9"/>
      <c r="H14" s="37"/>
      <c r="I14" s="38"/>
      <c r="J14" s="39"/>
      <c r="K14" s="40"/>
      <c r="L14" s="9"/>
      <c r="M14" s="9"/>
      <c r="N14" s="9"/>
    </row>
    <row r="15" spans="1:14" x14ac:dyDescent="0.25">
      <c r="A15" s="199"/>
      <c r="B15" s="200"/>
      <c r="C15" s="201"/>
      <c r="D15" s="37"/>
      <c r="E15" s="38"/>
      <c r="F15" s="39"/>
      <c r="G15" s="9"/>
      <c r="H15" s="37"/>
      <c r="I15" s="38"/>
      <c r="J15" s="39"/>
      <c r="K15" s="40"/>
      <c r="L15" s="9"/>
      <c r="M15" s="9"/>
      <c r="N15" s="9"/>
    </row>
    <row r="16" spans="1:14" x14ac:dyDescent="0.25">
      <c r="A16" s="199"/>
      <c r="B16" s="200"/>
      <c r="C16" s="201"/>
      <c r="D16" s="37"/>
      <c r="E16" s="38"/>
      <c r="F16" s="39"/>
      <c r="G16" s="9"/>
      <c r="H16" s="37"/>
      <c r="I16" s="38"/>
      <c r="J16" s="39"/>
      <c r="K16" s="40"/>
      <c r="L16" s="9"/>
      <c r="M16" s="9"/>
      <c r="N16" s="9"/>
    </row>
    <row r="17" spans="1:14" x14ac:dyDescent="0.25">
      <c r="A17" s="199"/>
      <c r="B17" s="200"/>
      <c r="C17" s="201"/>
      <c r="D17" s="37"/>
      <c r="E17" s="38"/>
      <c r="F17" s="39"/>
      <c r="G17" s="9"/>
      <c r="H17" s="37"/>
      <c r="I17" s="38"/>
      <c r="J17" s="39"/>
      <c r="K17" s="40"/>
      <c r="L17" s="9"/>
      <c r="M17" s="9"/>
      <c r="N17" s="9"/>
    </row>
    <row r="18" spans="1:14" x14ac:dyDescent="0.25">
      <c r="A18" s="199"/>
      <c r="B18" s="200"/>
      <c r="C18" s="201"/>
      <c r="D18" s="37"/>
      <c r="E18" s="38"/>
      <c r="F18" s="39"/>
      <c r="G18" s="9"/>
      <c r="H18" s="37"/>
      <c r="I18" s="38"/>
      <c r="J18" s="39"/>
      <c r="K18" s="40"/>
      <c r="L18" s="9"/>
      <c r="M18" s="9"/>
      <c r="N18" s="9"/>
    </row>
    <row r="19" spans="1:14" x14ac:dyDescent="0.25">
      <c r="A19" s="199"/>
      <c r="B19" s="200"/>
      <c r="C19" s="201"/>
      <c r="D19" s="37"/>
      <c r="E19" s="38"/>
      <c r="F19" s="39"/>
      <c r="G19" s="9"/>
      <c r="H19" s="37"/>
      <c r="I19" s="38"/>
      <c r="J19" s="39"/>
      <c r="K19" s="40"/>
      <c r="L19" s="9"/>
      <c r="M19" s="9"/>
      <c r="N19" s="9"/>
    </row>
    <row r="20" spans="1:14" x14ac:dyDescent="0.25">
      <c r="A20" s="202"/>
      <c r="B20" s="203"/>
      <c r="C20" s="204"/>
      <c r="D20" s="41"/>
      <c r="E20" s="42"/>
      <c r="F20" s="43"/>
      <c r="G20" s="9"/>
      <c r="H20" s="41"/>
      <c r="I20" s="42"/>
      <c r="J20" s="43"/>
      <c r="K20" s="44"/>
      <c r="L20" s="9"/>
      <c r="M20" s="9"/>
      <c r="N20" s="9"/>
    </row>
    <row r="21" spans="1:14" x14ac:dyDescent="0.25">
      <c r="A21" s="45" t="s">
        <v>113</v>
      </c>
      <c r="B21" s="205" t="s">
        <v>114</v>
      </c>
      <c r="C21" s="206"/>
      <c r="D21" s="46"/>
      <c r="E21" s="47"/>
      <c r="F21" s="48"/>
      <c r="G21" s="9"/>
      <c r="H21" s="46"/>
      <c r="I21" s="47"/>
      <c r="J21" s="48"/>
      <c r="K21" s="9"/>
      <c r="L21" s="9"/>
      <c r="M21" s="9"/>
      <c r="N21" s="9"/>
    </row>
    <row r="22" spans="1:14" x14ac:dyDescent="0.25">
      <c r="A22" s="207" t="s">
        <v>115</v>
      </c>
      <c r="B22" s="208"/>
      <c r="C22" s="208"/>
      <c r="D22" s="49"/>
      <c r="E22" s="50"/>
      <c r="F22" s="51"/>
      <c r="G22" s="9"/>
      <c r="H22" s="49"/>
      <c r="I22" s="50"/>
      <c r="J22" s="51"/>
      <c r="K22" s="9"/>
      <c r="L22" s="9"/>
      <c r="M22" s="9"/>
      <c r="N22" s="9"/>
    </row>
    <row r="23" spans="1:14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 x14ac:dyDescent="0.25">
      <c r="A24" s="9"/>
      <c r="B24" s="9"/>
      <c r="C24" s="9"/>
      <c r="D24" s="10" t="s">
        <v>116</v>
      </c>
      <c r="E24" s="52"/>
      <c r="F24" s="9"/>
      <c r="G24" s="9"/>
      <c r="H24" s="10" t="s">
        <v>116</v>
      </c>
      <c r="I24" s="52"/>
      <c r="J24" s="10" t="s">
        <v>117</v>
      </c>
      <c r="K24" s="52"/>
      <c r="L24" s="9"/>
      <c r="M24" s="9"/>
      <c r="N24" s="9"/>
    </row>
    <row r="25" spans="1:14" x14ac:dyDescent="0.25">
      <c r="A25" s="9"/>
      <c r="B25" s="9"/>
      <c r="C25" s="9"/>
      <c r="D25" s="10" t="s">
        <v>118</v>
      </c>
      <c r="E25" s="52"/>
      <c r="F25" s="9"/>
      <c r="G25" s="9"/>
      <c r="H25" s="10" t="s">
        <v>118</v>
      </c>
      <c r="I25" s="52"/>
      <c r="J25" s="10" t="s">
        <v>118</v>
      </c>
      <c r="K25" s="52"/>
      <c r="L25" s="9"/>
      <c r="M25" s="9"/>
      <c r="N25" s="9"/>
    </row>
    <row r="26" spans="1:14" x14ac:dyDescent="0.25">
      <c r="A26" s="9"/>
      <c r="B26" s="9"/>
      <c r="C26" s="9"/>
      <c r="D26" s="53"/>
      <c r="E26" s="28"/>
      <c r="F26" s="9"/>
      <c r="G26" s="9"/>
      <c r="H26" s="53"/>
      <c r="I26" s="28"/>
      <c r="J26" s="28"/>
      <c r="K26" s="9"/>
      <c r="L26" s="9"/>
      <c r="M26" s="9"/>
      <c r="N26" s="9"/>
    </row>
    <row r="27" spans="1:14" x14ac:dyDescent="0.25">
      <c r="A27" s="9"/>
      <c r="B27" s="9"/>
      <c r="C27" s="9"/>
      <c r="D27" s="10" t="s">
        <v>119</v>
      </c>
      <c r="E27" s="54"/>
      <c r="F27" s="9"/>
      <c r="G27" s="9"/>
      <c r="H27" s="53"/>
      <c r="I27" s="28"/>
      <c r="J27" s="55"/>
      <c r="K27" s="9"/>
      <c r="L27" s="9"/>
      <c r="M27" s="9"/>
      <c r="N27" s="9"/>
    </row>
    <row r="28" spans="1:14" x14ac:dyDescent="0.25">
      <c r="A28" s="9"/>
      <c r="B28" s="9"/>
      <c r="C28" s="9"/>
      <c r="D28" s="10" t="s">
        <v>118</v>
      </c>
      <c r="E28" s="52"/>
      <c r="F28" s="9"/>
      <c r="G28" s="9"/>
      <c r="H28" s="53"/>
      <c r="I28" s="28"/>
      <c r="J28" s="55"/>
      <c r="K28" s="9"/>
      <c r="L28" s="9"/>
      <c r="M28" s="9"/>
      <c r="N28" s="9"/>
    </row>
    <row r="29" spans="1:14" x14ac:dyDescent="0.25">
      <c r="A29" s="9"/>
      <c r="B29" s="9"/>
      <c r="C29" s="9"/>
      <c r="D29" s="9"/>
      <c r="E29" s="9"/>
      <c r="F29" s="9"/>
      <c r="G29" s="9"/>
      <c r="H29" s="53"/>
      <c r="I29" s="28"/>
      <c r="J29" s="9"/>
      <c r="K29" s="9"/>
      <c r="L29" s="9"/>
      <c r="M29" s="9"/>
      <c r="N29" s="9"/>
    </row>
  </sheetData>
  <mergeCells count="16">
    <mergeCell ref="A12:C12"/>
    <mergeCell ref="D9:F9"/>
    <mergeCell ref="H9:J9"/>
    <mergeCell ref="K9:K10"/>
    <mergeCell ref="A10:C10"/>
    <mergeCell ref="A11:C11"/>
    <mergeCell ref="A19:C19"/>
    <mergeCell ref="A20:C20"/>
    <mergeCell ref="B21:C21"/>
    <mergeCell ref="A22:C22"/>
    <mergeCell ref="A13:C13"/>
    <mergeCell ref="A14:C14"/>
    <mergeCell ref="A15:C15"/>
    <mergeCell ref="A16:C16"/>
    <mergeCell ref="A17:C17"/>
    <mergeCell ref="A18:C18"/>
  </mergeCells>
  <conditionalFormatting sqref="K12">
    <cfRule type="containsText" dxfId="11" priority="5" operator="containsText" text="No">
      <formula>NOT(ISERROR(SEARCH("No",K12)))</formula>
    </cfRule>
    <cfRule type="containsText" dxfId="10" priority="6" operator="containsText" text="Yes">
      <formula>NOT(ISERROR(SEARCH("Yes",K12)))</formula>
    </cfRule>
  </conditionalFormatting>
  <conditionalFormatting sqref="K13:K20">
    <cfRule type="containsText" dxfId="9" priority="1" operator="containsText" text="No">
      <formula>NOT(ISERROR(SEARCH("No",K13)))</formula>
    </cfRule>
    <cfRule type="containsText" dxfId="8" priority="2" operator="containsText" text="Yes">
      <formula>NOT(ISERROR(SEARCH("Yes",K13)))</formula>
    </cfRule>
  </conditionalFormatting>
  <conditionalFormatting sqref="K11">
    <cfRule type="containsText" dxfId="7" priority="3" operator="containsText" text="No">
      <formula>NOT(ISERROR(SEARCH("No",K11)))</formula>
    </cfRule>
    <cfRule type="containsText" dxfId="6" priority="4" operator="containsText" text="Yes">
      <formula>NOT(ISERROR(SEARCH("Yes",K11)))</formula>
    </cfRule>
  </conditionalFormatting>
  <dataValidations count="2">
    <dataValidation type="list" allowBlank="1" showInputMessage="1" showErrorMessage="1" sqref="E11:E22 I11:I22">
      <formula1>"0,1,2"</formula1>
    </dataValidation>
    <dataValidation type="list" allowBlank="1" showInputMessage="1" showErrorMessage="1" sqref="K11:K20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0"/>
  <sheetViews>
    <sheetView workbookViewId="0"/>
  </sheetViews>
  <sheetFormatPr defaultRowHeight="15" x14ac:dyDescent="0.25"/>
  <cols>
    <col min="1" max="1" width="17.140625" customWidth="1"/>
    <col min="2" max="2" width="17.5703125" customWidth="1"/>
    <col min="3" max="3" width="11.140625" customWidth="1"/>
    <col min="6" max="6" width="14" customWidth="1"/>
    <col min="10" max="10" width="12.42578125" customWidth="1"/>
  </cols>
  <sheetData>
    <row r="1" spans="1:14" x14ac:dyDescent="0.25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4" x14ac:dyDescent="0.25">
      <c r="A2" s="10" t="s">
        <v>90</v>
      </c>
      <c r="B2" s="11"/>
      <c r="C2" s="12"/>
      <c r="D2" s="12"/>
      <c r="E2" s="10" t="s">
        <v>120</v>
      </c>
      <c r="F2" s="13" t="s">
        <v>92</v>
      </c>
      <c r="G2" s="12"/>
      <c r="H2" s="14" t="s">
        <v>93</v>
      </c>
      <c r="I2" s="14"/>
      <c r="J2" s="9"/>
      <c r="K2" s="12"/>
      <c r="L2" s="12"/>
      <c r="M2" s="12" t="s">
        <v>94</v>
      </c>
      <c r="N2" s="12"/>
    </row>
    <row r="3" spans="1:14" x14ac:dyDescent="0.25">
      <c r="A3" s="10" t="s">
        <v>95</v>
      </c>
      <c r="B3" s="11"/>
      <c r="C3" s="9"/>
      <c r="D3" s="9"/>
      <c r="E3" s="9"/>
      <c r="F3" s="9"/>
      <c r="G3" s="9"/>
      <c r="H3" s="9"/>
      <c r="I3" s="9"/>
      <c r="J3" s="9"/>
      <c r="K3" s="9"/>
      <c r="L3" s="9"/>
      <c r="M3" s="16">
        <v>1</v>
      </c>
      <c r="N3" s="17" t="s">
        <v>96</v>
      </c>
    </row>
    <row r="4" spans="1:14" x14ac:dyDescent="0.25">
      <c r="A4" s="18" t="s">
        <v>97</v>
      </c>
      <c r="B4" s="11"/>
      <c r="C4" s="9"/>
      <c r="D4" s="19"/>
      <c r="E4" s="9"/>
      <c r="F4" s="9"/>
      <c r="G4" s="9"/>
      <c r="H4" s="9"/>
      <c r="I4" s="9"/>
      <c r="J4" s="9"/>
      <c r="K4" s="9"/>
      <c r="L4" s="9"/>
      <c r="M4" s="16">
        <v>2</v>
      </c>
      <c r="N4" s="20" t="s">
        <v>99</v>
      </c>
    </row>
    <row r="5" spans="1:14" x14ac:dyDescent="0.25">
      <c r="A5" s="10" t="s">
        <v>100</v>
      </c>
      <c r="B5" s="21"/>
      <c r="C5" s="9"/>
      <c r="D5" s="9"/>
      <c r="E5" s="9"/>
      <c r="F5" s="9"/>
      <c r="G5" s="9"/>
      <c r="H5" s="9"/>
      <c r="I5" s="9"/>
      <c r="J5" s="9"/>
      <c r="K5" s="9"/>
      <c r="L5" s="9"/>
      <c r="M5" s="22">
        <v>3</v>
      </c>
      <c r="N5" s="23" t="s">
        <v>101</v>
      </c>
    </row>
    <row r="6" spans="1:14" x14ac:dyDescent="0.25">
      <c r="A6" s="9"/>
      <c r="B6" s="9"/>
      <c r="C6" s="9"/>
      <c r="D6" s="24" t="s">
        <v>121</v>
      </c>
      <c r="E6" s="9"/>
      <c r="F6" s="9"/>
      <c r="G6" s="9"/>
      <c r="H6" s="9"/>
      <c r="I6" s="9"/>
      <c r="J6" s="9"/>
      <c r="K6" s="9"/>
      <c r="L6" s="9"/>
      <c r="M6" s="25">
        <v>4</v>
      </c>
      <c r="N6" s="26" t="s">
        <v>103</v>
      </c>
    </row>
    <row r="7" spans="1:14" x14ac:dyDescent="0.25">
      <c r="A7" s="10" t="s">
        <v>104</v>
      </c>
      <c r="B7" s="11"/>
      <c r="C7" s="9"/>
      <c r="D7" s="27"/>
      <c r="E7" s="9"/>
      <c r="F7" s="9"/>
      <c r="G7" s="9"/>
      <c r="H7" s="9"/>
      <c r="I7" s="9"/>
      <c r="J7" s="9"/>
      <c r="K7" s="9"/>
      <c r="L7" s="9"/>
      <c r="M7" s="28"/>
      <c r="N7" s="9"/>
    </row>
    <row r="8" spans="1:14" x14ac:dyDescent="0.25">
      <c r="A8" s="10" t="s">
        <v>106</v>
      </c>
      <c r="B8" s="11"/>
      <c r="C8" s="19"/>
      <c r="D8" s="19"/>
      <c r="E8" s="9"/>
      <c r="F8" s="9"/>
      <c r="G8" s="9"/>
      <c r="H8" s="19"/>
      <c r="I8" s="9"/>
      <c r="J8" s="9"/>
      <c r="K8" s="9"/>
      <c r="L8" s="9"/>
      <c r="M8" s="28"/>
      <c r="N8" s="9"/>
    </row>
    <row r="9" spans="1:14" ht="15" customHeight="1" x14ac:dyDescent="0.25">
      <c r="A9" s="29"/>
      <c r="B9" s="9"/>
      <c r="C9" s="9"/>
      <c r="D9" s="209" t="s">
        <v>107</v>
      </c>
      <c r="E9" s="210"/>
      <c r="F9" s="211"/>
      <c r="G9" s="9"/>
      <c r="H9" s="212" t="s">
        <v>108</v>
      </c>
      <c r="I9" s="213"/>
      <c r="J9" s="214"/>
      <c r="K9" s="215" t="s">
        <v>109</v>
      </c>
      <c r="L9" s="9"/>
      <c r="M9" s="28"/>
      <c r="N9" s="9"/>
    </row>
    <row r="10" spans="1:14" ht="15" customHeight="1" x14ac:dyDescent="0.25">
      <c r="A10" s="217" t="s">
        <v>110</v>
      </c>
      <c r="B10" s="218"/>
      <c r="C10" s="219"/>
      <c r="D10" s="30" t="s">
        <v>111</v>
      </c>
      <c r="E10" s="31" t="s">
        <v>112</v>
      </c>
      <c r="F10" s="32" t="s">
        <v>71</v>
      </c>
      <c r="G10" s="9"/>
      <c r="H10" s="30" t="s">
        <v>111</v>
      </c>
      <c r="I10" s="31" t="s">
        <v>112</v>
      </c>
      <c r="J10" s="32" t="s">
        <v>71</v>
      </c>
      <c r="K10" s="216"/>
      <c r="L10" s="9"/>
      <c r="M10" s="9"/>
      <c r="N10" s="9"/>
    </row>
    <row r="11" spans="1:14" x14ac:dyDescent="0.25">
      <c r="A11" s="220"/>
      <c r="B11" s="221"/>
      <c r="C11" s="222"/>
      <c r="D11" s="33"/>
      <c r="E11" s="34"/>
      <c r="F11" s="35"/>
      <c r="G11" s="9"/>
      <c r="H11" s="33"/>
      <c r="I11" s="34"/>
      <c r="J11" s="35"/>
      <c r="K11" s="36"/>
      <c r="L11" s="9"/>
      <c r="M11" s="9"/>
      <c r="N11" s="9"/>
    </row>
    <row r="12" spans="1:14" x14ac:dyDescent="0.25">
      <c r="A12" s="199"/>
      <c r="B12" s="200"/>
      <c r="C12" s="201"/>
      <c r="D12" s="37"/>
      <c r="E12" s="38"/>
      <c r="F12" s="39"/>
      <c r="G12" s="9"/>
      <c r="H12" s="37"/>
      <c r="I12" s="38"/>
      <c r="J12" s="39"/>
      <c r="K12" s="40"/>
      <c r="L12" s="9"/>
      <c r="M12" s="9"/>
      <c r="N12" s="9"/>
    </row>
    <row r="13" spans="1:14" x14ac:dyDescent="0.25">
      <c r="A13" s="199"/>
      <c r="B13" s="200"/>
      <c r="C13" s="201"/>
      <c r="D13" s="37"/>
      <c r="E13" s="38"/>
      <c r="F13" s="39"/>
      <c r="G13" s="9"/>
      <c r="H13" s="37"/>
      <c r="I13" s="38"/>
      <c r="J13" s="39"/>
      <c r="K13" s="40"/>
      <c r="L13" s="9"/>
      <c r="M13" s="9"/>
      <c r="N13" s="9"/>
    </row>
    <row r="14" spans="1:14" x14ac:dyDescent="0.25">
      <c r="A14" s="199"/>
      <c r="B14" s="200"/>
      <c r="C14" s="201"/>
      <c r="D14" s="37"/>
      <c r="E14" s="38"/>
      <c r="F14" s="39"/>
      <c r="G14" s="9"/>
      <c r="H14" s="37"/>
      <c r="I14" s="38"/>
      <c r="J14" s="39"/>
      <c r="K14" s="40"/>
      <c r="L14" s="9"/>
      <c r="M14" s="9"/>
      <c r="N14" s="9"/>
    </row>
    <row r="15" spans="1:14" x14ac:dyDescent="0.25">
      <c r="A15" s="199"/>
      <c r="B15" s="200"/>
      <c r="C15" s="201"/>
      <c r="D15" s="37"/>
      <c r="E15" s="38"/>
      <c r="F15" s="39"/>
      <c r="G15" s="9"/>
      <c r="H15" s="37"/>
      <c r="I15" s="38"/>
      <c r="J15" s="39"/>
      <c r="K15" s="40"/>
      <c r="L15" s="9"/>
      <c r="M15" s="9"/>
      <c r="N15" s="9"/>
    </row>
    <row r="16" spans="1:14" x14ac:dyDescent="0.25">
      <c r="A16" s="199"/>
      <c r="B16" s="200"/>
      <c r="C16" s="201"/>
      <c r="D16" s="37"/>
      <c r="E16" s="38"/>
      <c r="F16" s="39"/>
      <c r="G16" s="9"/>
      <c r="H16" s="37"/>
      <c r="I16" s="38"/>
      <c r="J16" s="39"/>
      <c r="K16" s="40"/>
      <c r="L16" s="9"/>
      <c r="M16" s="9"/>
      <c r="N16" s="9"/>
    </row>
    <row r="17" spans="1:14" x14ac:dyDescent="0.25">
      <c r="A17" s="199"/>
      <c r="B17" s="200"/>
      <c r="C17" s="201"/>
      <c r="D17" s="37"/>
      <c r="E17" s="38"/>
      <c r="F17" s="39"/>
      <c r="G17" s="9"/>
      <c r="H17" s="37"/>
      <c r="I17" s="38"/>
      <c r="J17" s="39"/>
      <c r="K17" s="40"/>
      <c r="L17" s="9"/>
      <c r="M17" s="9"/>
      <c r="N17" s="9"/>
    </row>
    <row r="18" spans="1:14" x14ac:dyDescent="0.25">
      <c r="A18" s="199"/>
      <c r="B18" s="200"/>
      <c r="C18" s="201"/>
      <c r="D18" s="37"/>
      <c r="E18" s="38"/>
      <c r="F18" s="39"/>
      <c r="G18" s="9"/>
      <c r="H18" s="37"/>
      <c r="I18" s="38"/>
      <c r="J18" s="39"/>
      <c r="K18" s="40"/>
      <c r="L18" s="9"/>
      <c r="M18" s="9"/>
      <c r="N18" s="9"/>
    </row>
    <row r="19" spans="1:14" x14ac:dyDescent="0.25">
      <c r="A19" s="199"/>
      <c r="B19" s="200"/>
      <c r="C19" s="201"/>
      <c r="D19" s="37"/>
      <c r="E19" s="38"/>
      <c r="F19" s="39"/>
      <c r="G19" s="9"/>
      <c r="H19" s="37"/>
      <c r="I19" s="38"/>
      <c r="J19" s="39"/>
      <c r="K19" s="40"/>
      <c r="L19" s="9"/>
      <c r="M19" s="9"/>
      <c r="N19" s="9"/>
    </row>
    <row r="20" spans="1:14" x14ac:dyDescent="0.25">
      <c r="A20" s="202"/>
      <c r="B20" s="203"/>
      <c r="C20" s="204"/>
      <c r="D20" s="41"/>
      <c r="E20" s="42"/>
      <c r="F20" s="43"/>
      <c r="G20" s="9"/>
      <c r="H20" s="41"/>
      <c r="I20" s="42"/>
      <c r="J20" s="43"/>
      <c r="K20" s="44"/>
      <c r="L20" s="9"/>
      <c r="M20" s="9"/>
      <c r="N20" s="9"/>
    </row>
    <row r="21" spans="1:14" x14ac:dyDescent="0.25">
      <c r="A21" s="45" t="s">
        <v>122</v>
      </c>
      <c r="B21" s="205" t="s">
        <v>114</v>
      </c>
      <c r="C21" s="206"/>
      <c r="D21" s="46"/>
      <c r="E21" s="47"/>
      <c r="F21" s="48"/>
      <c r="G21" s="9"/>
      <c r="H21" s="46"/>
      <c r="I21" s="47"/>
      <c r="J21" s="48"/>
      <c r="K21" s="9"/>
      <c r="L21" s="9"/>
      <c r="M21" s="9"/>
      <c r="N21" s="9"/>
    </row>
    <row r="22" spans="1:14" x14ac:dyDescent="0.25">
      <c r="A22" s="56" t="s">
        <v>123</v>
      </c>
      <c r="B22" s="221" t="s">
        <v>114</v>
      </c>
      <c r="C22" s="222"/>
      <c r="D22" s="33"/>
      <c r="E22" s="34"/>
      <c r="F22" s="35"/>
      <c r="G22" s="9"/>
      <c r="H22" s="33"/>
      <c r="I22" s="34"/>
      <c r="J22" s="35"/>
      <c r="K22" s="9"/>
      <c r="L22" s="9"/>
      <c r="M22" s="9"/>
      <c r="N22" s="9"/>
    </row>
    <row r="23" spans="1:14" x14ac:dyDescent="0.25">
      <c r="A23" s="207" t="s">
        <v>115</v>
      </c>
      <c r="B23" s="208"/>
      <c r="C23" s="208"/>
      <c r="D23" s="49"/>
      <c r="E23" s="50"/>
      <c r="F23" s="51"/>
      <c r="G23" s="9"/>
      <c r="H23" s="49"/>
      <c r="I23" s="50"/>
      <c r="J23" s="51"/>
      <c r="K23" s="9"/>
      <c r="L23" s="9"/>
      <c r="M23" s="9"/>
      <c r="N23" s="9"/>
    </row>
    <row r="24" spans="1:14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 x14ac:dyDescent="0.25">
      <c r="A25" s="9"/>
      <c r="B25" s="9"/>
      <c r="C25" s="9"/>
      <c r="D25" s="10" t="s">
        <v>116</v>
      </c>
      <c r="E25" s="52"/>
      <c r="F25" s="9"/>
      <c r="G25" s="9"/>
      <c r="H25" s="10" t="s">
        <v>116</v>
      </c>
      <c r="I25" s="54"/>
      <c r="J25" s="10" t="s">
        <v>117</v>
      </c>
      <c r="K25" s="52"/>
      <c r="L25" s="9"/>
      <c r="M25" s="9"/>
      <c r="N25" s="9"/>
    </row>
    <row r="26" spans="1:14" x14ac:dyDescent="0.25">
      <c r="A26" s="9"/>
      <c r="B26" s="9"/>
      <c r="C26" s="9"/>
      <c r="D26" s="10" t="s">
        <v>118</v>
      </c>
      <c r="E26" s="52"/>
      <c r="F26" s="9"/>
      <c r="G26" s="9"/>
      <c r="H26" s="10" t="s">
        <v>118</v>
      </c>
      <c r="I26" s="52"/>
      <c r="J26" s="10" t="s">
        <v>118</v>
      </c>
      <c r="K26" s="52"/>
      <c r="L26" s="9"/>
      <c r="M26" s="9"/>
      <c r="N26" s="9"/>
    </row>
    <row r="27" spans="1:14" x14ac:dyDescent="0.25">
      <c r="A27" s="9"/>
      <c r="B27" s="9"/>
      <c r="C27" s="9"/>
      <c r="D27" s="53"/>
      <c r="E27" s="28"/>
      <c r="F27" s="9"/>
      <c r="G27" s="9"/>
      <c r="H27" s="53"/>
      <c r="I27" s="28"/>
      <c r="J27" s="28"/>
      <c r="K27" s="9"/>
      <c r="L27" s="9"/>
      <c r="M27" s="9"/>
      <c r="N27" s="9"/>
    </row>
    <row r="28" spans="1:14" x14ac:dyDescent="0.25">
      <c r="A28" s="9"/>
      <c r="B28" s="9"/>
      <c r="C28" s="9"/>
      <c r="D28" s="10" t="s">
        <v>119</v>
      </c>
      <c r="E28" s="54"/>
      <c r="F28" s="9"/>
      <c r="G28" s="9"/>
      <c r="H28" s="53"/>
      <c r="I28" s="28"/>
      <c r="J28" s="55"/>
      <c r="K28" s="9"/>
      <c r="L28" s="9"/>
      <c r="M28" s="9"/>
      <c r="N28" s="9"/>
    </row>
    <row r="29" spans="1:14" x14ac:dyDescent="0.25">
      <c r="A29" s="9"/>
      <c r="B29" s="9"/>
      <c r="C29" s="9"/>
      <c r="D29" s="10" t="s">
        <v>118</v>
      </c>
      <c r="E29" s="52"/>
      <c r="F29" s="9"/>
      <c r="G29" s="9"/>
      <c r="H29" s="53"/>
      <c r="I29" s="28"/>
      <c r="J29" s="55"/>
      <c r="K29" s="9"/>
      <c r="L29" s="9"/>
      <c r="M29" s="9"/>
      <c r="N29" s="9"/>
    </row>
    <row r="30" spans="1:14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</sheetData>
  <mergeCells count="17">
    <mergeCell ref="A18:C18"/>
    <mergeCell ref="D9:F9"/>
    <mergeCell ref="H9:J9"/>
    <mergeCell ref="K9:K10"/>
    <mergeCell ref="A10:C10"/>
    <mergeCell ref="A11:C11"/>
    <mergeCell ref="A12:C12"/>
    <mergeCell ref="A13:C13"/>
    <mergeCell ref="A14:C14"/>
    <mergeCell ref="A15:C15"/>
    <mergeCell ref="A16:C16"/>
    <mergeCell ref="A17:C17"/>
    <mergeCell ref="A19:C19"/>
    <mergeCell ref="A20:C20"/>
    <mergeCell ref="B21:C21"/>
    <mergeCell ref="B22:C22"/>
    <mergeCell ref="A23:C23"/>
  </mergeCells>
  <conditionalFormatting sqref="K12">
    <cfRule type="containsText" dxfId="5" priority="5" operator="containsText" text="No">
      <formula>NOT(ISERROR(SEARCH("No",K12)))</formula>
    </cfRule>
    <cfRule type="containsText" dxfId="4" priority="6" operator="containsText" text="Yes">
      <formula>NOT(ISERROR(SEARCH("Yes",K12)))</formula>
    </cfRule>
  </conditionalFormatting>
  <conditionalFormatting sqref="K13:K20">
    <cfRule type="containsText" dxfId="3" priority="1" operator="containsText" text="No">
      <formula>NOT(ISERROR(SEARCH("No",K13)))</formula>
    </cfRule>
    <cfRule type="containsText" dxfId="2" priority="2" operator="containsText" text="Yes">
      <formula>NOT(ISERROR(SEARCH("Yes",K13)))</formula>
    </cfRule>
  </conditionalFormatting>
  <conditionalFormatting sqref="K11">
    <cfRule type="containsText" dxfId="1" priority="3" operator="containsText" text="No">
      <formula>NOT(ISERROR(SEARCH("No",K11)))</formula>
    </cfRule>
    <cfRule type="containsText" dxfId="0" priority="4" operator="containsText" text="Yes">
      <formula>NOT(ISERROR(SEARCH("Yes",K11)))</formula>
    </cfRule>
  </conditionalFormatting>
  <dataValidations count="2">
    <dataValidation type="list" allowBlank="1" showInputMessage="1" showErrorMessage="1" sqref="I11:I23 E11:E23">
      <formula1>"0,1,2"</formula1>
    </dataValidation>
    <dataValidation type="list" allowBlank="1" showInputMessage="1" showErrorMessage="1" sqref="K11:L20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5"/>
  <sheetViews>
    <sheetView workbookViewId="0"/>
  </sheetViews>
  <sheetFormatPr defaultRowHeight="15" x14ac:dyDescent="0.25"/>
  <cols>
    <col min="1" max="1" width="13.7109375" bestFit="1" customWidth="1"/>
    <col min="10" max="10" width="9.140625" bestFit="1" customWidth="1"/>
    <col min="15" max="15" width="9.140625" bestFit="1" customWidth="1"/>
  </cols>
  <sheetData>
    <row r="1" spans="1:32" x14ac:dyDescent="0.25">
      <c r="A1" s="8"/>
      <c r="B1" s="9"/>
      <c r="C1" s="9"/>
      <c r="D1" s="9"/>
      <c r="E1" s="9"/>
      <c r="F1" s="9"/>
      <c r="G1" s="9"/>
      <c r="H1" s="9"/>
      <c r="I1" s="8"/>
      <c r="J1" s="9"/>
      <c r="K1" s="9"/>
      <c r="L1" s="9"/>
      <c r="M1" s="9"/>
      <c r="N1" s="9"/>
      <c r="O1" s="9"/>
      <c r="P1" s="9"/>
      <c r="Q1" s="9"/>
      <c r="R1" s="57" t="s">
        <v>124</v>
      </c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</row>
    <row r="2" spans="1:32" x14ac:dyDescent="0.25">
      <c r="A2" s="10" t="s">
        <v>90</v>
      </c>
      <c r="B2" s="257"/>
      <c r="C2" s="258"/>
      <c r="D2" s="29"/>
      <c r="E2" s="9"/>
      <c r="F2" s="14" t="s">
        <v>93</v>
      </c>
      <c r="G2" s="14"/>
      <c r="H2" s="14"/>
      <c r="I2" s="9"/>
      <c r="J2" s="9"/>
      <c r="K2" s="9"/>
      <c r="L2" s="10" t="s">
        <v>104</v>
      </c>
      <c r="M2" s="254" t="s">
        <v>125</v>
      </c>
      <c r="N2" s="254"/>
      <c r="O2" s="9"/>
      <c r="P2" s="9"/>
      <c r="Q2" s="9"/>
      <c r="R2" s="16">
        <v>1</v>
      </c>
      <c r="S2" s="17" t="s">
        <v>126</v>
      </c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</row>
    <row r="3" spans="1:32" x14ac:dyDescent="0.25">
      <c r="A3" s="10" t="s">
        <v>95</v>
      </c>
      <c r="B3" s="257"/>
      <c r="C3" s="258"/>
      <c r="D3" s="9"/>
      <c r="E3" s="9"/>
      <c r="F3" s="9"/>
      <c r="G3" s="9"/>
      <c r="H3" s="9"/>
      <c r="I3" s="9"/>
      <c r="J3" s="9"/>
      <c r="K3" s="9"/>
      <c r="L3" s="10" t="s">
        <v>127</v>
      </c>
      <c r="M3" s="255"/>
      <c r="N3" s="256"/>
      <c r="O3" s="9"/>
      <c r="P3" s="9"/>
      <c r="Q3" s="9"/>
      <c r="R3" s="16">
        <v>2</v>
      </c>
      <c r="S3" s="58" t="s">
        <v>128</v>
      </c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</row>
    <row r="4" spans="1:32" x14ac:dyDescent="0.25">
      <c r="A4" s="18" t="s">
        <v>97</v>
      </c>
      <c r="B4" s="257"/>
      <c r="C4" s="258"/>
      <c r="D4" s="9"/>
      <c r="E4" s="9"/>
      <c r="F4" s="9"/>
      <c r="G4" s="9"/>
      <c r="H4" s="9"/>
      <c r="I4" s="8"/>
      <c r="J4" s="9"/>
      <c r="K4" s="9"/>
      <c r="L4" s="9"/>
      <c r="M4" s="9"/>
      <c r="N4" s="9"/>
      <c r="O4" s="9"/>
      <c r="P4" s="9"/>
      <c r="Q4" s="9"/>
      <c r="R4" s="16">
        <v>3</v>
      </c>
      <c r="S4" s="58" t="s">
        <v>129</v>
      </c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x14ac:dyDescent="0.25">
      <c r="A5" s="10" t="s">
        <v>100</v>
      </c>
      <c r="B5" s="259"/>
      <c r="C5" s="260"/>
      <c r="D5" s="9"/>
      <c r="E5" s="9" t="s">
        <v>130</v>
      </c>
      <c r="F5" s="9"/>
      <c r="G5" s="9"/>
      <c r="H5" s="9"/>
      <c r="I5" s="8"/>
      <c r="J5" s="9"/>
      <c r="K5" s="9"/>
      <c r="L5" s="9"/>
      <c r="M5" s="9"/>
      <c r="N5" s="9"/>
      <c r="O5" s="9"/>
      <c r="P5" s="9"/>
      <c r="Q5" s="9"/>
      <c r="R5" s="16">
        <v>4</v>
      </c>
      <c r="S5" s="20" t="s">
        <v>131</v>
      </c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x14ac:dyDescent="0.25">
      <c r="A6" s="9"/>
      <c r="B6" s="9"/>
      <c r="C6" s="9"/>
      <c r="D6" s="9"/>
      <c r="E6" s="9"/>
      <c r="F6" s="9"/>
      <c r="G6" s="9"/>
      <c r="H6" s="9"/>
      <c r="I6" s="8"/>
      <c r="J6" s="9"/>
      <c r="K6" s="9"/>
      <c r="L6" s="9"/>
      <c r="M6" s="9"/>
      <c r="N6" s="9"/>
      <c r="O6" s="9"/>
      <c r="P6" s="9"/>
      <c r="Q6" s="9"/>
      <c r="R6" s="60" t="s">
        <v>132</v>
      </c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</row>
    <row r="7" spans="1:32" x14ac:dyDescent="0.25">
      <c r="A7" s="261" t="s">
        <v>107</v>
      </c>
      <c r="B7" s="261"/>
      <c r="C7" s="261"/>
      <c r="D7" s="261"/>
      <c r="E7" s="261"/>
      <c r="F7" s="261"/>
      <c r="G7" s="261"/>
      <c r="H7" s="261"/>
      <c r="I7" s="261"/>
      <c r="J7" s="62"/>
      <c r="K7" s="262" t="s">
        <v>108</v>
      </c>
      <c r="L7" s="262"/>
      <c r="M7" s="262"/>
      <c r="N7" s="262"/>
      <c r="O7" s="262"/>
      <c r="P7" s="262"/>
      <c r="Q7" s="62"/>
      <c r="R7" s="63">
        <v>4</v>
      </c>
      <c r="S7" s="61" t="s">
        <v>128</v>
      </c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</row>
    <row r="8" spans="1:32" x14ac:dyDescent="0.25">
      <c r="A8" s="62"/>
      <c r="B8" s="62"/>
      <c r="C8" s="62"/>
      <c r="D8" s="263" t="s">
        <v>133</v>
      </c>
      <c r="E8" s="264"/>
      <c r="F8" s="264"/>
      <c r="G8" s="264"/>
      <c r="H8" s="265"/>
      <c r="I8" s="9"/>
      <c r="J8" s="9"/>
      <c r="K8" s="263" t="s">
        <v>133</v>
      </c>
      <c r="L8" s="264"/>
      <c r="M8" s="264"/>
      <c r="N8" s="264"/>
      <c r="O8" s="265"/>
      <c r="P8" s="9"/>
      <c r="Q8" s="9"/>
      <c r="R8" s="63">
        <v>5</v>
      </c>
      <c r="S8" s="61" t="s">
        <v>134</v>
      </c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</row>
    <row r="9" spans="1:32" x14ac:dyDescent="0.25">
      <c r="A9" s="62"/>
      <c r="B9" s="62"/>
      <c r="C9" s="62"/>
      <c r="D9" s="64"/>
      <c r="E9" s="65"/>
      <c r="F9" s="266" t="s">
        <v>135</v>
      </c>
      <c r="G9" s="267"/>
      <c r="H9" s="268"/>
      <c r="I9" s="9"/>
      <c r="J9" s="9"/>
      <c r="K9" s="64"/>
      <c r="L9" s="65"/>
      <c r="M9" s="266" t="s">
        <v>135</v>
      </c>
      <c r="N9" s="267"/>
      <c r="O9" s="268"/>
      <c r="P9" s="9"/>
      <c r="Q9" s="9"/>
      <c r="R9" s="62"/>
      <c r="S9" s="62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</row>
    <row r="10" spans="1:32" x14ac:dyDescent="0.25">
      <c r="A10" s="269" t="s">
        <v>110</v>
      </c>
      <c r="B10" s="270"/>
      <c r="C10" s="271"/>
      <c r="D10" s="66" t="s">
        <v>136</v>
      </c>
      <c r="E10" s="67" t="s">
        <v>137</v>
      </c>
      <c r="F10" s="68" t="s">
        <v>138</v>
      </c>
      <c r="G10" s="59" t="s">
        <v>139</v>
      </c>
      <c r="H10" s="69" t="s">
        <v>140</v>
      </c>
      <c r="I10" s="9"/>
      <c r="J10" s="9"/>
      <c r="K10" s="66" t="s">
        <v>136</v>
      </c>
      <c r="L10" s="67" t="s">
        <v>137</v>
      </c>
      <c r="M10" s="68" t="s">
        <v>138</v>
      </c>
      <c r="N10" s="59" t="s">
        <v>139</v>
      </c>
      <c r="O10" s="69" t="s">
        <v>140</v>
      </c>
      <c r="P10" s="9"/>
      <c r="Q10" s="9"/>
      <c r="R10" s="62"/>
      <c r="S10" s="62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</row>
    <row r="11" spans="1:32" x14ac:dyDescent="0.25">
      <c r="A11" s="252"/>
      <c r="B11" s="205"/>
      <c r="C11" s="253"/>
      <c r="D11" s="70"/>
      <c r="E11" s="71"/>
      <c r="F11" s="72"/>
      <c r="G11" s="73"/>
      <c r="H11" s="74"/>
      <c r="I11" s="9"/>
      <c r="J11" s="9"/>
      <c r="K11" s="70"/>
      <c r="L11" s="71"/>
      <c r="M11" s="72"/>
      <c r="N11" s="73"/>
      <c r="O11" s="74"/>
      <c r="P11" s="9"/>
      <c r="Q11" s="9"/>
      <c r="R11" s="62"/>
      <c r="S11" s="62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</row>
    <row r="12" spans="1:32" x14ac:dyDescent="0.25">
      <c r="A12" s="199"/>
      <c r="B12" s="200"/>
      <c r="C12" s="248"/>
      <c r="D12" s="75"/>
      <c r="E12" s="76"/>
      <c r="F12" s="77"/>
      <c r="G12" s="78"/>
      <c r="H12" s="79"/>
      <c r="I12" s="9"/>
      <c r="J12" s="9"/>
      <c r="K12" s="75"/>
      <c r="L12" s="76"/>
      <c r="M12" s="77"/>
      <c r="N12" s="78"/>
      <c r="O12" s="79"/>
      <c r="P12" s="9"/>
      <c r="Q12" s="9"/>
      <c r="R12" s="62"/>
      <c r="S12" s="62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</row>
    <row r="13" spans="1:32" x14ac:dyDescent="0.25">
      <c r="A13" s="199"/>
      <c r="B13" s="200"/>
      <c r="C13" s="248"/>
      <c r="D13" s="75"/>
      <c r="E13" s="76"/>
      <c r="F13" s="77"/>
      <c r="G13" s="78"/>
      <c r="H13" s="79"/>
      <c r="I13" s="9"/>
      <c r="J13" s="9"/>
      <c r="K13" s="75"/>
      <c r="L13" s="76"/>
      <c r="M13" s="77"/>
      <c r="N13" s="78"/>
      <c r="O13" s="79"/>
      <c r="P13" s="9"/>
      <c r="Q13" s="9"/>
      <c r="R13" s="62"/>
      <c r="S13" s="62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</row>
    <row r="14" spans="1:32" x14ac:dyDescent="0.25">
      <c r="A14" s="199"/>
      <c r="B14" s="200"/>
      <c r="C14" s="248"/>
      <c r="D14" s="75"/>
      <c r="E14" s="76"/>
      <c r="F14" s="77"/>
      <c r="G14" s="78"/>
      <c r="H14" s="79"/>
      <c r="I14" s="9"/>
      <c r="J14" s="9"/>
      <c r="K14" s="75"/>
      <c r="L14" s="76"/>
      <c r="M14" s="77"/>
      <c r="N14" s="78"/>
      <c r="O14" s="79"/>
      <c r="P14" s="9"/>
      <c r="Q14" s="9"/>
      <c r="R14" s="62"/>
      <c r="S14" s="62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</row>
    <row r="15" spans="1:32" x14ac:dyDescent="0.25">
      <c r="A15" s="199"/>
      <c r="B15" s="200"/>
      <c r="C15" s="248"/>
      <c r="D15" s="75"/>
      <c r="E15" s="76"/>
      <c r="F15" s="77"/>
      <c r="G15" s="78"/>
      <c r="H15" s="79"/>
      <c r="I15" s="9"/>
      <c r="J15" s="9"/>
      <c r="K15" s="75"/>
      <c r="L15" s="76"/>
      <c r="M15" s="77"/>
      <c r="N15" s="78"/>
      <c r="O15" s="79"/>
      <c r="P15" s="9"/>
      <c r="Q15" s="9"/>
      <c r="R15" s="62"/>
      <c r="S15" s="62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</row>
    <row r="16" spans="1:32" x14ac:dyDescent="0.25">
      <c r="A16" s="199"/>
      <c r="B16" s="200"/>
      <c r="C16" s="248"/>
      <c r="D16" s="75"/>
      <c r="E16" s="76"/>
      <c r="F16" s="77"/>
      <c r="G16" s="78"/>
      <c r="H16" s="79"/>
      <c r="I16" s="9"/>
      <c r="J16" s="9"/>
      <c r="K16" s="75"/>
      <c r="L16" s="76"/>
      <c r="M16" s="77"/>
      <c r="N16" s="78"/>
      <c r="O16" s="79"/>
      <c r="P16" s="9"/>
      <c r="Q16" s="9"/>
      <c r="R16" s="62"/>
      <c r="S16" s="62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</row>
    <row r="17" spans="1:32" x14ac:dyDescent="0.25">
      <c r="A17" s="199"/>
      <c r="B17" s="200"/>
      <c r="C17" s="248"/>
      <c r="D17" s="75"/>
      <c r="E17" s="76"/>
      <c r="F17" s="77"/>
      <c r="G17" s="78"/>
      <c r="H17" s="79"/>
      <c r="I17" s="9"/>
      <c r="J17" s="9"/>
      <c r="K17" s="75"/>
      <c r="L17" s="76"/>
      <c r="M17" s="77"/>
      <c r="N17" s="78"/>
      <c r="O17" s="79"/>
      <c r="P17" s="9"/>
      <c r="Q17" s="9"/>
      <c r="R17" s="62"/>
      <c r="S17" s="62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</row>
    <row r="18" spans="1:32" x14ac:dyDescent="0.25">
      <c r="A18" s="199"/>
      <c r="B18" s="200"/>
      <c r="C18" s="248"/>
      <c r="D18" s="75"/>
      <c r="E18" s="76"/>
      <c r="F18" s="77"/>
      <c r="G18" s="78"/>
      <c r="H18" s="79"/>
      <c r="I18" s="9"/>
      <c r="J18" s="9"/>
      <c r="K18" s="75"/>
      <c r="L18" s="76"/>
      <c r="M18" s="77"/>
      <c r="N18" s="78"/>
      <c r="O18" s="79"/>
      <c r="P18" s="9"/>
      <c r="Q18" s="9"/>
      <c r="R18" s="62"/>
      <c r="S18" s="62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</row>
    <row r="19" spans="1:32" x14ac:dyDescent="0.25">
      <c r="A19" s="199"/>
      <c r="B19" s="200"/>
      <c r="C19" s="248"/>
      <c r="D19" s="75"/>
      <c r="E19" s="76"/>
      <c r="F19" s="77"/>
      <c r="G19" s="78"/>
      <c r="H19" s="79"/>
      <c r="I19" s="9"/>
      <c r="J19" s="9"/>
      <c r="K19" s="75"/>
      <c r="L19" s="76"/>
      <c r="M19" s="77"/>
      <c r="N19" s="78"/>
      <c r="O19" s="79"/>
      <c r="P19" s="9"/>
      <c r="Q19" s="9"/>
      <c r="R19" s="62"/>
      <c r="S19" s="62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</row>
    <row r="20" spans="1:32" x14ac:dyDescent="0.25">
      <c r="A20" s="249"/>
      <c r="B20" s="250"/>
      <c r="C20" s="251"/>
      <c r="D20" s="80"/>
      <c r="E20" s="81"/>
      <c r="F20" s="82"/>
      <c r="G20" s="83"/>
      <c r="H20" s="84"/>
      <c r="I20" s="9"/>
      <c r="J20" s="9"/>
      <c r="K20" s="80"/>
      <c r="L20" s="81"/>
      <c r="M20" s="82"/>
      <c r="N20" s="83"/>
      <c r="O20" s="84"/>
      <c r="P20" s="9"/>
      <c r="Q20" s="9"/>
      <c r="R20" s="62"/>
      <c r="S20" s="62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</row>
    <row r="21" spans="1:32" x14ac:dyDescent="0.25">
      <c r="A21" s="9"/>
      <c r="B21" s="9"/>
      <c r="C21" s="9"/>
      <c r="D21" s="9"/>
      <c r="E21" s="9"/>
      <c r="F21" s="9"/>
      <c r="G21" s="9"/>
      <c r="H21" s="9"/>
      <c r="I21" s="8"/>
      <c r="J21" s="9"/>
      <c r="K21" s="9"/>
      <c r="L21" s="9"/>
      <c r="M21" s="9"/>
      <c r="N21" s="9"/>
      <c r="O21" s="9"/>
      <c r="P21" s="62"/>
      <c r="Q21" s="62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</row>
    <row r="22" spans="1:32" x14ac:dyDescent="0.25">
      <c r="A22" s="85"/>
      <c r="B22" s="85"/>
      <c r="C22" s="85"/>
      <c r="D22" s="239" t="s">
        <v>141</v>
      </c>
      <c r="E22" s="240"/>
      <c r="F22" s="239" t="s">
        <v>142</v>
      </c>
      <c r="G22" s="240"/>
      <c r="H22" s="239" t="s">
        <v>143</v>
      </c>
      <c r="I22" s="240"/>
      <c r="J22" s="9"/>
      <c r="K22" s="239" t="s">
        <v>141</v>
      </c>
      <c r="L22" s="240"/>
      <c r="M22" s="239" t="s">
        <v>142</v>
      </c>
      <c r="N22" s="240"/>
      <c r="O22" s="239" t="s">
        <v>143</v>
      </c>
      <c r="P22" s="240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</row>
    <row r="23" spans="1:32" ht="15" customHeight="1" x14ac:dyDescent="0.25">
      <c r="A23" s="223" t="s">
        <v>144</v>
      </c>
      <c r="B23" s="224"/>
      <c r="C23" s="225"/>
      <c r="D23" s="232" t="s">
        <v>138</v>
      </c>
      <c r="E23" s="234" t="s">
        <v>145</v>
      </c>
      <c r="F23" s="236" t="s">
        <v>139</v>
      </c>
      <c r="G23" s="234" t="s">
        <v>145</v>
      </c>
      <c r="H23" s="242" t="s">
        <v>140</v>
      </c>
      <c r="I23" s="234" t="s">
        <v>145</v>
      </c>
      <c r="J23" s="9"/>
      <c r="K23" s="232" t="s">
        <v>138</v>
      </c>
      <c r="L23" s="234" t="s">
        <v>145</v>
      </c>
      <c r="M23" s="236" t="s">
        <v>139</v>
      </c>
      <c r="N23" s="234" t="s">
        <v>145</v>
      </c>
      <c r="O23" s="242" t="s">
        <v>140</v>
      </c>
      <c r="P23" s="234" t="s">
        <v>145</v>
      </c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</row>
    <row r="24" spans="1:32" x14ac:dyDescent="0.25">
      <c r="A24" s="226"/>
      <c r="B24" s="227"/>
      <c r="C24" s="228"/>
      <c r="D24" s="233"/>
      <c r="E24" s="235"/>
      <c r="F24" s="237"/>
      <c r="G24" s="235"/>
      <c r="H24" s="243"/>
      <c r="I24" s="235"/>
      <c r="J24" s="9"/>
      <c r="K24" s="233"/>
      <c r="L24" s="235"/>
      <c r="M24" s="237"/>
      <c r="N24" s="235"/>
      <c r="O24" s="243"/>
      <c r="P24" s="235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</row>
    <row r="25" spans="1:32" x14ac:dyDescent="0.25">
      <c r="A25" s="239" t="s">
        <v>146</v>
      </c>
      <c r="B25" s="244"/>
      <c r="C25" s="240"/>
      <c r="D25" s="86"/>
      <c r="E25" s="73"/>
      <c r="F25" s="73"/>
      <c r="G25" s="73"/>
      <c r="H25" s="73"/>
      <c r="I25" s="74"/>
      <c r="J25" s="9"/>
      <c r="K25" s="72"/>
      <c r="L25" s="73"/>
      <c r="M25" s="73"/>
      <c r="N25" s="73"/>
      <c r="O25" s="73"/>
      <c r="P25" s="74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</row>
    <row r="26" spans="1:32" x14ac:dyDescent="0.25">
      <c r="A26" s="229" t="s">
        <v>147</v>
      </c>
      <c r="B26" s="230"/>
      <c r="C26" s="231"/>
      <c r="D26" s="87"/>
      <c r="E26" s="88"/>
      <c r="F26" s="88"/>
      <c r="G26" s="88"/>
      <c r="H26" s="88"/>
      <c r="I26" s="89"/>
      <c r="J26" s="9"/>
      <c r="K26" s="90"/>
      <c r="L26" s="88"/>
      <c r="M26" s="88"/>
      <c r="N26" s="88"/>
      <c r="O26" s="88"/>
      <c r="P26" s="8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</row>
    <row r="27" spans="1:32" x14ac:dyDescent="0.25">
      <c r="A27" s="229" t="s">
        <v>148</v>
      </c>
      <c r="B27" s="230"/>
      <c r="C27" s="231"/>
      <c r="D27" s="87"/>
      <c r="E27" s="88"/>
      <c r="F27" s="88"/>
      <c r="G27" s="88"/>
      <c r="H27" s="88"/>
      <c r="I27" s="89"/>
      <c r="J27" s="9"/>
      <c r="K27" s="90"/>
      <c r="L27" s="88"/>
      <c r="M27" s="88"/>
      <c r="N27" s="88"/>
      <c r="O27" s="88"/>
      <c r="P27" s="8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</row>
    <row r="28" spans="1:32" x14ac:dyDescent="0.25">
      <c r="A28" s="229" t="s">
        <v>149</v>
      </c>
      <c r="B28" s="230"/>
      <c r="C28" s="231"/>
      <c r="D28" s="87"/>
      <c r="E28" s="88"/>
      <c r="F28" s="88"/>
      <c r="G28" s="88"/>
      <c r="H28" s="88"/>
      <c r="I28" s="89"/>
      <c r="J28" s="9"/>
      <c r="K28" s="90"/>
      <c r="L28" s="88"/>
      <c r="M28" s="88"/>
      <c r="N28" s="88"/>
      <c r="O28" s="88"/>
      <c r="P28" s="8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</row>
    <row r="29" spans="1:32" x14ac:dyDescent="0.25">
      <c r="A29" s="229" t="s">
        <v>150</v>
      </c>
      <c r="B29" s="230"/>
      <c r="C29" s="231"/>
      <c r="D29" s="87"/>
      <c r="E29" s="88"/>
      <c r="F29" s="88"/>
      <c r="G29" s="88"/>
      <c r="H29" s="88"/>
      <c r="I29" s="89"/>
      <c r="J29" s="9"/>
      <c r="K29" s="90"/>
      <c r="L29" s="88"/>
      <c r="M29" s="88"/>
      <c r="N29" s="88"/>
      <c r="O29" s="88"/>
      <c r="P29" s="8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</row>
    <row r="30" spans="1:32" x14ac:dyDescent="0.25">
      <c r="A30" s="245" t="s">
        <v>115</v>
      </c>
      <c r="B30" s="246"/>
      <c r="C30" s="247"/>
      <c r="D30" s="91"/>
      <c r="E30" s="92"/>
      <c r="F30" s="92"/>
      <c r="G30" s="92"/>
      <c r="H30" s="92"/>
      <c r="I30" s="93"/>
      <c r="J30" s="94"/>
      <c r="K30" s="95"/>
      <c r="L30" s="92"/>
      <c r="M30" s="92"/>
      <c r="N30" s="92"/>
      <c r="O30" s="92"/>
      <c r="P30" s="93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</row>
    <row r="31" spans="1:32" x14ac:dyDescent="0.25">
      <c r="A31" s="9"/>
      <c r="B31" s="9"/>
      <c r="C31" s="9"/>
      <c r="D31" s="9"/>
      <c r="E31" s="9"/>
      <c r="F31" s="9"/>
      <c r="G31" s="9"/>
      <c r="H31" s="9"/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</row>
    <row r="32" spans="1:32" x14ac:dyDescent="0.25">
      <c r="A32" s="10" t="s">
        <v>116</v>
      </c>
      <c r="B32" s="238"/>
      <c r="C32" s="238"/>
      <c r="D32" s="9"/>
      <c r="E32" s="10" t="s">
        <v>119</v>
      </c>
      <c r="F32" s="238"/>
      <c r="G32" s="238"/>
      <c r="H32" s="9"/>
      <c r="I32" s="9"/>
      <c r="J32" s="9"/>
      <c r="K32" s="9"/>
      <c r="L32" s="10" t="s">
        <v>116</v>
      </c>
      <c r="M32" s="238"/>
      <c r="N32" s="238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</row>
    <row r="33" spans="1:32" x14ac:dyDescent="0.25">
      <c r="A33" s="10" t="s">
        <v>118</v>
      </c>
      <c r="B33" s="241"/>
      <c r="C33" s="241"/>
      <c r="D33" s="9"/>
      <c r="E33" s="10" t="s">
        <v>118</v>
      </c>
      <c r="F33" s="241"/>
      <c r="G33" s="241"/>
      <c r="H33" s="9"/>
      <c r="I33" s="9"/>
      <c r="J33" s="9"/>
      <c r="K33" s="9"/>
      <c r="L33" s="10" t="s">
        <v>118</v>
      </c>
      <c r="M33" s="241"/>
      <c r="N33" s="241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</row>
    <row r="34" spans="1:32" x14ac:dyDescent="0.25">
      <c r="A34" s="9"/>
      <c r="B34" s="9"/>
      <c r="C34" s="9"/>
      <c r="D34" s="9"/>
      <c r="E34" s="9"/>
      <c r="F34" s="9"/>
      <c r="G34" s="9"/>
      <c r="H34" s="9"/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</row>
    <row r="35" spans="1:32" x14ac:dyDescent="0.25">
      <c r="A35" s="9"/>
      <c r="B35" s="9"/>
      <c r="C35" s="9"/>
      <c r="D35" s="9"/>
      <c r="E35" s="9"/>
      <c r="F35" s="9"/>
      <c r="G35" s="9"/>
      <c r="H35" s="9"/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</row>
  </sheetData>
  <mergeCells count="54">
    <mergeCell ref="M2:N2"/>
    <mergeCell ref="M3:N3"/>
    <mergeCell ref="B4:C4"/>
    <mergeCell ref="A16:C16"/>
    <mergeCell ref="A17:C17"/>
    <mergeCell ref="B5:C5"/>
    <mergeCell ref="B3:C3"/>
    <mergeCell ref="B2:C2"/>
    <mergeCell ref="A15:C15"/>
    <mergeCell ref="A7:I7"/>
    <mergeCell ref="K7:P7"/>
    <mergeCell ref="D8:H8"/>
    <mergeCell ref="K8:O8"/>
    <mergeCell ref="F9:H9"/>
    <mergeCell ref="M9:O9"/>
    <mergeCell ref="A10:C10"/>
    <mergeCell ref="A11:C11"/>
    <mergeCell ref="A12:C12"/>
    <mergeCell ref="A13:C13"/>
    <mergeCell ref="A14:C14"/>
    <mergeCell ref="A18:C18"/>
    <mergeCell ref="A19:C19"/>
    <mergeCell ref="A20:C20"/>
    <mergeCell ref="H22:I22"/>
    <mergeCell ref="K22:L22"/>
    <mergeCell ref="D22:E22"/>
    <mergeCell ref="F22:G22"/>
    <mergeCell ref="M22:N22"/>
    <mergeCell ref="O22:P22"/>
    <mergeCell ref="B33:C33"/>
    <mergeCell ref="F33:G33"/>
    <mergeCell ref="M33:N33"/>
    <mergeCell ref="O23:O24"/>
    <mergeCell ref="P23:P24"/>
    <mergeCell ref="A25:C25"/>
    <mergeCell ref="A26:C26"/>
    <mergeCell ref="A27:C27"/>
    <mergeCell ref="A28:C28"/>
    <mergeCell ref="H23:H24"/>
    <mergeCell ref="I23:I24"/>
    <mergeCell ref="K23:K24"/>
    <mergeCell ref="A30:C30"/>
    <mergeCell ref="B32:C32"/>
    <mergeCell ref="F32:G32"/>
    <mergeCell ref="M32:N32"/>
    <mergeCell ref="L23:L24"/>
    <mergeCell ref="M23:M24"/>
    <mergeCell ref="N23:N24"/>
    <mergeCell ref="G23:G24"/>
    <mergeCell ref="A23:C24"/>
    <mergeCell ref="A29:C29"/>
    <mergeCell ref="D23:D24"/>
    <mergeCell ref="E23:E24"/>
    <mergeCell ref="F23:F24"/>
  </mergeCells>
  <dataValidations count="3">
    <dataValidation type="list" allowBlank="1" showInputMessage="1" showErrorMessage="1" sqref="D30:I30 K30:P30">
      <formula1>"N/A,0,1,2"</formula1>
    </dataValidation>
    <dataValidation type="list" allowBlank="1" showInputMessage="1" showErrorMessage="1" sqref="M3">
      <formula1>"HbA/HbS,HbA/HbC,HbA/HbS/HbC"</formula1>
    </dataValidation>
    <dataValidation type="list" allowBlank="1" showInputMessage="1" showErrorMessage="1" sqref="D11:E20 K11:L20">
      <formula1>"A,S,C"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30"/>
  <sheetViews>
    <sheetView topLeftCell="D1" workbookViewId="0">
      <selection sqref="A1:A3"/>
    </sheetView>
  </sheetViews>
  <sheetFormatPr defaultRowHeight="15" x14ac:dyDescent="0.25"/>
  <cols>
    <col min="1" max="1" width="19.28515625" bestFit="1" customWidth="1"/>
    <col min="2" max="2" width="18.28515625" customWidth="1"/>
    <col min="4" max="4" width="10.85546875" bestFit="1" customWidth="1"/>
    <col min="5" max="5" width="13" bestFit="1" customWidth="1"/>
    <col min="7" max="7" width="12" bestFit="1" customWidth="1"/>
    <col min="8" max="8" width="18.28515625" bestFit="1" customWidth="1"/>
    <col min="9" max="9" width="20.5703125" bestFit="1" customWidth="1"/>
    <col min="10" max="10" width="20.28515625" bestFit="1" customWidth="1"/>
    <col min="11" max="11" width="11.42578125" bestFit="1" customWidth="1"/>
    <col min="12" max="12" width="20.5703125" bestFit="1" customWidth="1"/>
    <col min="13" max="13" width="12.5703125" customWidth="1"/>
    <col min="14" max="14" width="61.28515625" customWidth="1"/>
    <col min="15" max="15" width="15.140625" customWidth="1"/>
    <col min="16" max="17" width="12.5703125" customWidth="1"/>
    <col min="18" max="18" width="4.28515625" customWidth="1"/>
    <col min="19" max="21" width="12.5703125" customWidth="1"/>
    <col min="22" max="22" width="25.7109375" bestFit="1" customWidth="1"/>
  </cols>
  <sheetData>
    <row r="1" spans="1:22" x14ac:dyDescent="0.25">
      <c r="A1" t="s">
        <v>4</v>
      </c>
      <c r="B1" s="2">
        <v>1</v>
      </c>
      <c r="C1" t="s">
        <v>151</v>
      </c>
      <c r="D1" t="s">
        <v>152</v>
      </c>
      <c r="E1" t="s">
        <v>153</v>
      </c>
      <c r="F1" t="s">
        <v>154</v>
      </c>
      <c r="H1" s="4" t="s">
        <v>155</v>
      </c>
      <c r="I1" s="4" t="s">
        <v>4</v>
      </c>
      <c r="J1" s="4" t="s">
        <v>156</v>
      </c>
      <c r="K1" t="s">
        <v>157</v>
      </c>
      <c r="L1" t="s">
        <v>158</v>
      </c>
      <c r="N1" s="139" t="s">
        <v>159</v>
      </c>
      <c r="O1" s="139" t="s">
        <v>160</v>
      </c>
      <c r="P1" s="137"/>
      <c r="V1" t="s">
        <v>209</v>
      </c>
    </row>
    <row r="2" spans="1:22" x14ac:dyDescent="0.25">
      <c r="A2" t="s">
        <v>156</v>
      </c>
      <c r="B2" s="2">
        <v>2</v>
      </c>
      <c r="C2" t="s">
        <v>161</v>
      </c>
      <c r="D2" t="s">
        <v>162</v>
      </c>
      <c r="E2" t="s">
        <v>163</v>
      </c>
      <c r="F2" t="s">
        <v>164</v>
      </c>
      <c r="H2" s="1"/>
      <c r="I2" s="1"/>
      <c r="J2" s="1"/>
      <c r="K2" t="s">
        <v>165</v>
      </c>
      <c r="L2" t="s">
        <v>166</v>
      </c>
      <c r="N2" s="137" t="s">
        <v>167</v>
      </c>
      <c r="O2" s="7" t="e" cm="1">
        <f t="array" aca="1" ref="O2:O4" ca="1">SUBSTITUTE(OFFSET(data_validation!$H$1,2, MATCH(data_entry!$B$3, data_validation!$H1:$J1,0)-1,3,1), 0, "")</f>
        <v>#N/A</v>
      </c>
      <c r="P2" s="137"/>
      <c r="V2" t="s">
        <v>210</v>
      </c>
    </row>
    <row r="3" spans="1:22" x14ac:dyDescent="0.25">
      <c r="A3" t="s">
        <v>155</v>
      </c>
      <c r="B3" s="2">
        <v>3</v>
      </c>
      <c r="C3" t="s">
        <v>168</v>
      </c>
      <c r="D3" t="s">
        <v>169</v>
      </c>
      <c r="E3" t="s">
        <v>170</v>
      </c>
      <c r="G3" s="272" t="s">
        <v>171</v>
      </c>
      <c r="H3" s="4" t="s">
        <v>161</v>
      </c>
      <c r="I3" s="4" t="s">
        <v>151</v>
      </c>
      <c r="J3" s="4" t="s">
        <v>151</v>
      </c>
      <c r="N3" s="137"/>
      <c r="O3" t="e">
        <f ca="1"/>
        <v>#N/A</v>
      </c>
      <c r="P3" s="137"/>
      <c r="V3" t="s">
        <v>211</v>
      </c>
    </row>
    <row r="4" spans="1:22" x14ac:dyDescent="0.25">
      <c r="B4" s="2">
        <v>4</v>
      </c>
      <c r="E4" t="s">
        <v>172</v>
      </c>
      <c r="G4" s="272"/>
      <c r="H4" s="4" t="s">
        <v>151</v>
      </c>
      <c r="I4" s="4" t="s">
        <v>161</v>
      </c>
      <c r="J4" s="4" t="s">
        <v>161</v>
      </c>
      <c r="L4" s="138">
        <f>data_entry!B3</f>
        <v>0</v>
      </c>
      <c r="M4" t="s">
        <v>173</v>
      </c>
      <c r="N4" s="137"/>
      <c r="O4" t="e">
        <f ca="1"/>
        <v>#N/A</v>
      </c>
      <c r="P4" s="137"/>
      <c r="V4" t="s">
        <v>212</v>
      </c>
    </row>
    <row r="5" spans="1:22" x14ac:dyDescent="0.25">
      <c r="B5" s="2">
        <v>5</v>
      </c>
      <c r="E5" t="s">
        <v>174</v>
      </c>
      <c r="G5" s="272"/>
      <c r="H5" s="4"/>
      <c r="I5" s="4" t="s">
        <v>168</v>
      </c>
      <c r="J5" s="4" t="s">
        <v>168</v>
      </c>
      <c r="N5" s="137"/>
      <c r="P5" s="137"/>
      <c r="V5" t="s">
        <v>213</v>
      </c>
    </row>
    <row r="6" spans="1:22" x14ac:dyDescent="0.25">
      <c r="B6" s="2">
        <v>6</v>
      </c>
      <c r="N6" s="275" t="s">
        <v>175</v>
      </c>
      <c r="O6" s="7" t="e" cm="1">
        <f t="array" aca="1" ref="O6:O7" ca="1">SUBSTITUTE(OFFSET(data_validation!$H$1,6, MATCH(data_entry!$B$3, data_validation!$H1:$J1,0)-1,2,1), 0, "")</f>
        <v>#N/A</v>
      </c>
      <c r="P6" s="137"/>
      <c r="V6" t="s">
        <v>214</v>
      </c>
    </row>
    <row r="7" spans="1:22" x14ac:dyDescent="0.25">
      <c r="B7" s="2">
        <v>7</v>
      </c>
      <c r="G7" s="272" t="s">
        <v>176</v>
      </c>
      <c r="H7" s="5" t="s">
        <v>177</v>
      </c>
      <c r="I7" s="5" t="s">
        <v>162</v>
      </c>
      <c r="J7" s="5" t="s">
        <v>162</v>
      </c>
      <c r="N7" s="275"/>
      <c r="O7" t="e">
        <f ca="1"/>
        <v>#N/A</v>
      </c>
      <c r="P7" s="137"/>
      <c r="V7" t="s">
        <v>215</v>
      </c>
    </row>
    <row r="8" spans="1:22" x14ac:dyDescent="0.25">
      <c r="B8" s="2">
        <v>8</v>
      </c>
      <c r="G8" s="272"/>
      <c r="H8" s="5" t="s">
        <v>162</v>
      </c>
      <c r="I8" s="5" t="s">
        <v>169</v>
      </c>
      <c r="J8" s="5" t="s">
        <v>169</v>
      </c>
      <c r="N8" s="137"/>
      <c r="P8" s="137"/>
      <c r="V8" t="s">
        <v>216</v>
      </c>
    </row>
    <row r="9" spans="1:22" x14ac:dyDescent="0.25">
      <c r="B9" s="2">
        <v>9</v>
      </c>
      <c r="G9" s="272"/>
      <c r="H9" s="5" t="s">
        <v>178</v>
      </c>
      <c r="I9" s="5"/>
      <c r="J9" s="5"/>
      <c r="N9" s="274" t="s">
        <v>179</v>
      </c>
      <c r="O9" s="7" t="e" cm="1">
        <f t="array" aca="1" ref="O9:O13" ca="1">SUBSTITUTE(OFFSET(data_validation!$H$1,9, MATCH(data_entry!$B$3, data_validation!$H1:$J1,0)-1,5,1), 0, "")</f>
        <v>#N/A</v>
      </c>
      <c r="P9" s="137"/>
      <c r="V9" t="s">
        <v>217</v>
      </c>
    </row>
    <row r="10" spans="1:22" x14ac:dyDescent="0.25">
      <c r="B10" s="2">
        <v>10</v>
      </c>
      <c r="G10" s="272" t="s">
        <v>179</v>
      </c>
      <c r="H10" s="96" t="s">
        <v>180</v>
      </c>
      <c r="I10" s="96" t="s">
        <v>180</v>
      </c>
      <c r="J10" s="96" t="s">
        <v>181</v>
      </c>
      <c r="N10" s="274"/>
      <c r="O10" t="e">
        <f ca="1"/>
        <v>#N/A</v>
      </c>
      <c r="P10" s="137"/>
      <c r="V10" t="s">
        <v>218</v>
      </c>
    </row>
    <row r="11" spans="1:22" x14ac:dyDescent="0.25">
      <c r="B11" s="2">
        <v>11</v>
      </c>
      <c r="G11" s="272"/>
      <c r="H11" s="96" t="s">
        <v>182</v>
      </c>
      <c r="I11" s="96" t="s">
        <v>182</v>
      </c>
      <c r="J11" s="96" t="s">
        <v>183</v>
      </c>
      <c r="N11" s="274"/>
      <c r="O11" t="e">
        <f ca="1"/>
        <v>#N/A</v>
      </c>
      <c r="P11" s="137"/>
      <c r="V11" t="s">
        <v>219</v>
      </c>
    </row>
    <row r="12" spans="1:22" x14ac:dyDescent="0.25">
      <c r="B12" s="2">
        <v>12</v>
      </c>
      <c r="G12" s="272"/>
      <c r="H12" s="96" t="s">
        <v>181</v>
      </c>
      <c r="I12" s="96" t="s">
        <v>181</v>
      </c>
      <c r="J12" s="96" t="s">
        <v>81</v>
      </c>
      <c r="N12" s="274"/>
      <c r="O12" t="e">
        <f ca="1"/>
        <v>#N/A</v>
      </c>
      <c r="P12" s="137"/>
      <c r="V12" t="s">
        <v>220</v>
      </c>
    </row>
    <row r="13" spans="1:22" x14ac:dyDescent="0.25">
      <c r="B13" s="2">
        <v>13</v>
      </c>
      <c r="G13" s="272"/>
      <c r="H13" s="96" t="s">
        <v>183</v>
      </c>
      <c r="I13" s="96" t="s">
        <v>183</v>
      </c>
      <c r="J13" s="96" t="s">
        <v>184</v>
      </c>
      <c r="N13" s="274"/>
      <c r="O13" t="e">
        <f ca="1"/>
        <v>#N/A</v>
      </c>
      <c r="P13" s="137"/>
      <c r="V13" t="s">
        <v>221</v>
      </c>
    </row>
    <row r="14" spans="1:22" x14ac:dyDescent="0.25">
      <c r="B14" s="2">
        <v>14</v>
      </c>
      <c r="G14" s="272"/>
      <c r="H14" s="96" t="s">
        <v>81</v>
      </c>
      <c r="I14" s="96" t="s">
        <v>81</v>
      </c>
      <c r="J14" s="96"/>
      <c r="N14" s="137"/>
      <c r="P14" s="137"/>
      <c r="V14" t="s">
        <v>222</v>
      </c>
    </row>
    <row r="15" spans="1:22" x14ac:dyDescent="0.25">
      <c r="B15" s="2">
        <v>15</v>
      </c>
      <c r="G15" s="272"/>
      <c r="H15" s="96" t="s">
        <v>184</v>
      </c>
      <c r="I15" s="96" t="s">
        <v>184</v>
      </c>
      <c r="J15" s="96"/>
      <c r="N15" s="273" t="s">
        <v>185</v>
      </c>
      <c r="O15" s="7" t="e" cm="1">
        <f t="array" aca="1" ref="O15:O17" ca="1">SUBSTITUTE(OFFSET(data_validation!$H$1,15, MATCH(data_entry!$B$3, data_validation!$H1:$J1,0)-1,3,1), 0, "")</f>
        <v>#N/A</v>
      </c>
      <c r="P15" s="137"/>
      <c r="V15" t="s">
        <v>223</v>
      </c>
    </row>
    <row r="16" spans="1:22" x14ac:dyDescent="0.25">
      <c r="B16" s="2">
        <v>16</v>
      </c>
      <c r="G16" s="272" t="s">
        <v>185</v>
      </c>
      <c r="H16" t="s">
        <v>186</v>
      </c>
      <c r="I16" t="s">
        <v>186</v>
      </c>
      <c r="J16" t="s">
        <v>187</v>
      </c>
      <c r="N16" s="273"/>
      <c r="O16" t="e">
        <f ca="1"/>
        <v>#N/A</v>
      </c>
      <c r="P16" s="137"/>
      <c r="V16" t="s">
        <v>224</v>
      </c>
    </row>
    <row r="17" spans="2:22" x14ac:dyDescent="0.25">
      <c r="B17" s="2">
        <v>17</v>
      </c>
      <c r="G17" s="272"/>
      <c r="H17" t="s">
        <v>187</v>
      </c>
      <c r="I17" t="s">
        <v>188</v>
      </c>
      <c r="N17" s="273"/>
      <c r="O17" t="e">
        <f ca="1"/>
        <v>#N/A</v>
      </c>
      <c r="P17" s="137"/>
      <c r="V17" t="s">
        <v>225</v>
      </c>
    </row>
    <row r="18" spans="2:22" x14ac:dyDescent="0.25">
      <c r="B18" s="2">
        <v>18</v>
      </c>
      <c r="G18" s="272"/>
      <c r="I18" t="s">
        <v>187</v>
      </c>
      <c r="N18" s="140"/>
      <c r="O18" s="137"/>
      <c r="P18" s="137"/>
      <c r="V18" t="s">
        <v>226</v>
      </c>
    </row>
    <row r="19" spans="2:22" x14ac:dyDescent="0.25">
      <c r="B19" s="2">
        <v>19</v>
      </c>
      <c r="G19" s="6"/>
      <c r="V19" t="s">
        <v>227</v>
      </c>
    </row>
    <row r="20" spans="2:22" x14ac:dyDescent="0.25">
      <c r="B20" s="2">
        <v>20</v>
      </c>
      <c r="V20" t="s">
        <v>228</v>
      </c>
    </row>
    <row r="21" spans="2:22" x14ac:dyDescent="0.25">
      <c r="B21" s="2">
        <v>21</v>
      </c>
      <c r="V21" t="s">
        <v>229</v>
      </c>
    </row>
    <row r="22" spans="2:22" x14ac:dyDescent="0.25">
      <c r="B22" s="2">
        <v>22</v>
      </c>
      <c r="M22" s="1" t="s">
        <v>189</v>
      </c>
      <c r="N22" s="1"/>
      <c r="O22" s="1" t="s">
        <v>190</v>
      </c>
      <c r="P22" s="1"/>
      <c r="Q22" s="1"/>
      <c r="R22" s="1"/>
      <c r="S22" s="1" t="s">
        <v>191</v>
      </c>
      <c r="V22" t="s">
        <v>230</v>
      </c>
    </row>
    <row r="23" spans="2:22" x14ac:dyDescent="0.25">
      <c r="B23" s="2" t="s">
        <v>192</v>
      </c>
      <c r="M23" s="3" t="s">
        <v>193</v>
      </c>
      <c r="N23" s="3"/>
      <c r="O23" s="3" t="s">
        <v>193</v>
      </c>
      <c r="P23" s="3"/>
      <c r="Q23" s="3"/>
      <c r="R23" s="3"/>
      <c r="S23" s="3" t="s">
        <v>193</v>
      </c>
      <c r="T23" s="3"/>
      <c r="V23" t="s">
        <v>231</v>
      </c>
    </row>
    <row r="24" spans="2:22" x14ac:dyDescent="0.25">
      <c r="B24" s="2" t="s">
        <v>194</v>
      </c>
      <c r="M24" s="3" t="s">
        <v>195</v>
      </c>
      <c r="N24" s="3"/>
      <c r="O24" s="3" t="s">
        <v>196</v>
      </c>
      <c r="P24" s="3"/>
      <c r="Q24" s="3"/>
      <c r="R24" s="3"/>
      <c r="S24" s="3" t="s">
        <v>197</v>
      </c>
      <c r="T24" s="3"/>
      <c r="V24" t="s">
        <v>232</v>
      </c>
    </row>
    <row r="25" spans="2:22" x14ac:dyDescent="0.25">
      <c r="M25" s="3" t="s">
        <v>198</v>
      </c>
      <c r="N25" s="3"/>
      <c r="O25" s="3" t="s">
        <v>199</v>
      </c>
      <c r="P25" s="3" t="s">
        <v>200</v>
      </c>
      <c r="S25" s="3" t="s">
        <v>199</v>
      </c>
      <c r="T25" s="3" t="s">
        <v>200</v>
      </c>
      <c r="V25" t="s">
        <v>233</v>
      </c>
    </row>
    <row r="26" spans="2:22" x14ac:dyDescent="0.25">
      <c r="M26" s="3" t="s">
        <v>201</v>
      </c>
      <c r="N26" s="3"/>
      <c r="O26" s="3"/>
      <c r="P26" s="3" t="s">
        <v>202</v>
      </c>
      <c r="S26" s="3"/>
      <c r="T26" s="3" t="s">
        <v>202</v>
      </c>
      <c r="V26" t="s">
        <v>234</v>
      </c>
    </row>
    <row r="27" spans="2:22" x14ac:dyDescent="0.25">
      <c r="M27" t="s">
        <v>203</v>
      </c>
      <c r="O27" s="3"/>
      <c r="P27" s="3" t="s">
        <v>204</v>
      </c>
      <c r="S27" s="3"/>
      <c r="T27" s="3" t="s">
        <v>204</v>
      </c>
      <c r="V27" t="s">
        <v>235</v>
      </c>
    </row>
    <row r="28" spans="2:22" x14ac:dyDescent="0.25">
      <c r="O28" s="3"/>
      <c r="P28" s="3" t="s">
        <v>205</v>
      </c>
      <c r="S28" t="s">
        <v>206</v>
      </c>
      <c r="V28" t="s">
        <v>236</v>
      </c>
    </row>
    <row r="29" spans="2:22" x14ac:dyDescent="0.25">
      <c r="O29" s="3"/>
      <c r="P29" s="3" t="s">
        <v>207</v>
      </c>
    </row>
    <row r="30" spans="2:22" x14ac:dyDescent="0.25">
      <c r="O30" s="3" t="s">
        <v>208</v>
      </c>
      <c r="P30" s="3"/>
    </row>
  </sheetData>
  <mergeCells count="7">
    <mergeCell ref="G16:G18"/>
    <mergeCell ref="N15:N17"/>
    <mergeCell ref="G3:G5"/>
    <mergeCell ref="N9:N13"/>
    <mergeCell ref="N6:N7"/>
    <mergeCell ref="G7:G9"/>
    <mergeCell ref="G10:G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31</vt:i4>
      </vt:variant>
    </vt:vector>
  </HeadingPairs>
  <TitlesOfParts>
    <vt:vector size="38" baseType="lpstr">
      <vt:lpstr>data_entry</vt:lpstr>
      <vt:lpstr>Precase</vt:lpstr>
      <vt:lpstr>Case</vt:lpstr>
      <vt:lpstr>Sequencing</vt:lpstr>
      <vt:lpstr>SizeSeparation</vt:lpstr>
      <vt:lpstr>ARMS</vt:lpstr>
      <vt:lpstr>data_validation</vt:lpstr>
      <vt:lpstr>biopsy_number</vt:lpstr>
      <vt:lpstr>chromosome</vt:lpstr>
      <vt:lpstr>consanguineous</vt:lpstr>
      <vt:lpstr>de_novo</vt:lpstr>
      <vt:lpstr>disease</vt:lpstr>
      <vt:lpstr>disease_omim</vt:lpstr>
      <vt:lpstr>embryo_data</vt:lpstr>
      <vt:lpstr>exclusion</vt:lpstr>
      <vt:lpstr>female_partner_hosp_num</vt:lpstr>
      <vt:lpstr>flanking_region_size</vt:lpstr>
      <vt:lpstr>gene</vt:lpstr>
      <vt:lpstr>gene_end</vt:lpstr>
      <vt:lpstr>gene_omim</vt:lpstr>
      <vt:lpstr>gene_start</vt:lpstr>
      <vt:lpstr>input_file</vt:lpstr>
      <vt:lpstr>maternal_mutation</vt:lpstr>
      <vt:lpstr>mode_of_inheritance</vt:lpstr>
      <vt:lpstr>multi_analysis</vt:lpstr>
      <vt:lpstr>partner1_details</vt:lpstr>
      <vt:lpstr>partner2_details</vt:lpstr>
      <vt:lpstr>paste_gene</vt:lpstr>
      <vt:lpstr>paternal_mutation</vt:lpstr>
      <vt:lpstr>pgd_worksheet</vt:lpstr>
      <vt:lpstr>pgd_worksheet_denovo</vt:lpstr>
      <vt:lpstr>pru</vt:lpstr>
      <vt:lpstr>ref_relationship</vt:lpstr>
      <vt:lpstr>ref_relationship_to_couple</vt:lpstr>
      <vt:lpstr>ref_seq</vt:lpstr>
      <vt:lpstr>ref_status</vt:lpstr>
      <vt:lpstr>reference</vt:lpstr>
      <vt:lpstr>template_version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Smith Graeme</dc:creator>
  <cp:keywords/>
  <dc:description/>
  <cp:lastModifiedBy>Smith Graeme</cp:lastModifiedBy>
  <cp:revision/>
  <dcterms:created xsi:type="dcterms:W3CDTF">2022-03-11T11:50:08Z</dcterms:created>
  <dcterms:modified xsi:type="dcterms:W3CDTF">2022-11-23T16:01:00Z</dcterms:modified>
  <cp:category/>
  <cp:contentStatus/>
</cp:coreProperties>
</file>