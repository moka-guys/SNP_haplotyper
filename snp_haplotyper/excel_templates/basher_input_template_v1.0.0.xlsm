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vmlDrawing1.vml" ContentType="application/vnd.openxmlformats-officedocument.vmlDrawing"/>
  <Override PartName="/xl/ctrlProps/ctrlProps2.xml" ContentType="application/vnd.ms-excel.controlproperties+xml"/>
  <Override PartName="/xl/ctrlProps/ctrlProps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_entry" sheetId="1" state="visible" r:id="rId3"/>
    <sheet name="Precase" sheetId="2" state="visible" r:id="rId4"/>
    <sheet name="Case" sheetId="3" state="visible" r:id="rId5"/>
    <sheet name="Sequencing" sheetId="4" state="visible" r:id="rId6"/>
    <sheet name="SizeSeparation" sheetId="5" state="visible" r:id="rId7"/>
    <sheet name="ARMS" sheetId="6" state="visible" r:id="rId8"/>
    <sheet name="data_validation" sheetId="7" state="visible" r:id="rId9"/>
  </sheets>
  <definedNames>
    <definedName function="false" hidden="false" name="biopsy_number" vbProcedure="false">data_entry!$B$9</definedName>
    <definedName function="false" hidden="false" name="chromosome" vbProcedure="false">data_entry!$B$31</definedName>
    <definedName function="false" hidden="false" name="consanguineous" vbProcedure="false">data_entry!$H$15</definedName>
    <definedName function="false" hidden="false" name="de_novo" vbProcedure="false">data_entry!$H$17</definedName>
    <definedName function="false" hidden="false" name="disease" vbProcedure="false">data_entry!$F$22:$L$22</definedName>
    <definedName function="false" hidden="false" name="disease_omim" vbProcedure="false">data_entry!$M$22:$N$22</definedName>
    <definedName function="false" hidden="false" name="embryo_data" vbProcedure="false">data_entry!$Q$4:$T$28</definedName>
    <definedName function="false" hidden="false" name="exclusion" vbProcedure="false">data_entry!$M$17</definedName>
    <definedName function="false" hidden="false" name="female_partner_hosp_num" vbProcedure="false">data_entry!$B$15</definedName>
    <definedName function="false" hidden="false" name="flanking_region_size" vbProcedure="false">data_entry!$B$35</definedName>
    <definedName function="false" hidden="false" name="gene" vbProcedure="false">data_entry!$B$27</definedName>
    <definedName function="false" hidden="false" name="gene_end" vbProcedure="false">data_entry!$C$33</definedName>
    <definedName function="false" hidden="false" name="gene_omim" vbProcedure="false">data_entry!$C$27</definedName>
    <definedName function="false" hidden="false" name="gene_start" vbProcedure="false">data_entry!$B$33</definedName>
    <definedName function="false" hidden="false" name="input_file" vbProcedure="false">data_entry!$B$7</definedName>
    <definedName function="false" hidden="false" name="maternal_mutation" vbProcedure="false">data_entry!$B$20</definedName>
    <definedName function="false" hidden="false" name="mode_of_inheritance" vbProcedure="false">data_entry!$B$3</definedName>
    <definedName function="false" hidden="false" name="multi_analysis" vbProcedure="false">data_entry!$B$18</definedName>
    <definedName function="false" hidden="false" name="partner1_details" vbProcedure="false">data_entry!$G$4:$M$4</definedName>
    <definedName function="false" hidden="false" name="partner2_details" vbProcedure="false">data_entry!$G$6:$M$6</definedName>
    <definedName function="false" hidden="false" name="paste_gene" vbProcedure="false">data_entry!$B$29</definedName>
    <definedName function="false" hidden="false" name="paternal_mutation" vbProcedure="false">data_entry!$B$21</definedName>
    <definedName function="false" hidden="false" name="pgd_worksheet" vbProcedure="false">data_entry!$B$5</definedName>
    <definedName function="false" hidden="false" name="pgd_worksheet_denovo" vbProcedure="false">data_entry!$B$16</definedName>
    <definedName function="false" hidden="false" name="pru" vbProcedure="false">data_entry!$B$14</definedName>
    <definedName function="false" hidden="false" name="reference" vbProcedure="false">data_entry!$H$8:$M$8</definedName>
    <definedName function="false" hidden="false" name="ref_relationship" vbProcedure="false">data_entry!$H$12</definedName>
    <definedName function="false" hidden="false" name="ref_relationship_to_couple" vbProcedure="false">data_entry!$H$13</definedName>
    <definedName function="false" hidden="false" name="ref_seq" vbProcedure="false">data_entry!$B$22</definedName>
    <definedName function="false" hidden="false" name="ref_status" vbProcedure="false">data_entry!$H$11</definedName>
    <definedName function="false" hidden="false" name="template_version" vbProcedure="false">data_entry!$B$38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xdr="http://schemas.openxmlformats.org/drawingml/2006/spreadsheetDrawing">
  <authors>
    <author> </author>
  </authors>
  <commentList>
    <comment ref="A7" authorId="0">
      <text>
        <r>
          <rPr>
            <sz val="11"/>
            <color rgb="FF000000"/>
            <rFont val="Calibri"/>
            <family val="2"/>
            <charset val="1"/>
          </rPr>
          <t xml:space="preserve">Name of the text file to be processed.  Files use have no suffix such as txt.</t>
        </r>
      </text>
    </comment>
    <comment ref="A9" authorId="0">
      <text>
        <r>
          <rPr>
            <sz val="11"/>
            <color rgb="FF000000"/>
            <rFont val="Calibri"/>
            <family val="2"/>
            <charset val="1"/>
          </rPr>
          <t xml:space="preserve">Multiple Biopsy Numbers may be entered in the 'Embryo Data' section representing different cycles, ONLY THE BIOPSY NUMBER HERE WILL BE INCLUDED IN THIS ANALYSIS</t>
        </r>
      </text>
    </comment>
    <comment ref="A18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If pateint requires multiple analyses for different genes/modes of inheritance then a separate excel file will have to be created for each one.</t>
        </r>
      </text>
    </comment>
    <comment ref="B5" authorId="0">
      <text>
        <r>
          <rPr>
            <sz val="11"/>
            <color rgb="FF000000"/>
            <rFont val="Calibri"/>
            <family val="2"/>
            <charset val="1"/>
          </rPr>
          <t xml:space="preserve">Format: PGD0000</t>
        </r>
      </text>
    </comment>
    <comment ref="B14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</t>
        </r>
      </text>
    </comment>
    <comment ref="B16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seq/sizesep suffix</t>
        </r>
      </text>
    </comment>
    <comment ref="B29" authorId="0">
      <text>
        <r>
          <rPr>
            <sz val="11"/>
            <color rgb="FF000000"/>
            <rFont val="Calibri"/>
            <family val="2"/>
            <charset val="1"/>
          </rPr>
          <t xml:space="preserve">Paste co-ordinates in the format chr1:1,234,570-1,234,870 to auto populate the fields below.</t>
        </r>
      </text>
    </comment>
    <comment ref="G13" authorId="0">
      <text>
        <r>
          <rPr>
            <sz val="11"/>
            <color rgb="FF000000"/>
            <rFont val="Calibri"/>
            <family val="2"/>
            <charset val="1"/>
          </rPr>
          <t xml:space="preserve">The Reference relationship is measured from the relevant partner i.e. the embryo's grandfather would be recorded as 'father' in this field as this is the relationship to the relevant partner.</t>
        </r>
      </text>
    </comment>
    <comment ref="Q3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Biopsy Number is Unique for each cycle</t>
        </r>
      </text>
    </comment>
    <comment ref="R3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In the format:
7AS_E1
7AS_E11</t>
        </r>
      </text>
    </comment>
    <comment ref="T3" authorId="0">
      <text>
        <r>
          <rPr>
            <sz val="11"/>
            <color rgb="FF000000"/>
            <rFont val="Calibri"/>
            <family val="2"/>
            <charset val="1"/>
          </rPr>
          <t xml:space="preserve">Graeme Smith:
Column name relating to the embryo from the input txt file.</t>
        </r>
      </text>
    </comment>
  </commentList>
</comments>
</file>

<file path=xl/sharedStrings.xml><?xml version="1.0" encoding="utf-8"?>
<sst xmlns="http://schemas.openxmlformats.org/spreadsheetml/2006/main" count="397" uniqueCount="246">
  <si>
    <t xml:space="preserve">Meta Data</t>
  </si>
  <si>
    <t xml:space="preserve">Sample Data</t>
  </si>
  <si>
    <t xml:space="preserve">Embryo Data</t>
  </si>
  <si>
    <t xml:space="preserve">Mode of Inheritance</t>
  </si>
  <si>
    <t xml:space="preserve">Sample Type:</t>
  </si>
  <si>
    <t xml:space="preserve">Sex:</t>
  </si>
  <si>
    <t xml:space="preserve">Forename:</t>
  </si>
  <si>
    <t xml:space="preserve">Surname:</t>
  </si>
  <si>
    <t xml:space="preserve">DOB:</t>
  </si>
  <si>
    <t xml:space="preserve">DNA No:</t>
  </si>
  <si>
    <t xml:space="preserve">Column Name:</t>
  </si>
  <si>
    <t xml:space="preserve">Biopsy No:</t>
  </si>
  <si>
    <t xml:space="preserve">Embryo ID:</t>
  </si>
  <si>
    <t xml:space="preserve">Embryo Sex:</t>
  </si>
  <si>
    <t xml:space="preserve">PGD worksheet:</t>
  </si>
  <si>
    <t xml:space="preserve">Input File Name:</t>
  </si>
  <si>
    <t xml:space="preserve">Reference:</t>
  </si>
  <si>
    <t xml:space="preserve">Biopsy No for analysis:</t>
  </si>
  <si>
    <t xml:space="preserve">Samples with above Biopsy Number are run through the script</t>
  </si>
  <si>
    <t xml:space="preserve">Reference Details:</t>
  </si>
  <si>
    <t xml:space="preserve">ref_status:</t>
  </si>
  <si>
    <t xml:space="preserve">Additional Data</t>
  </si>
  <si>
    <t xml:space="preserve">ref_relationship:</t>
  </si>
  <si>
    <t xml:space="preserve">ref_relationship_to_couple:</t>
  </si>
  <si>
    <t xml:space="preserve">PRU No: (family)</t>
  </si>
  <si>
    <t xml:space="preserve">Female partner hosp num:</t>
  </si>
  <si>
    <t xml:space="preserve">consanguineous:</t>
  </si>
  <si>
    <t xml:space="preserve">PGD worksheet (de novo)</t>
  </si>
  <si>
    <t xml:space="preserve">de novo:</t>
  </si>
  <si>
    <t xml:space="preserve">Multiple analysis for this patient?</t>
  </si>
  <si>
    <t xml:space="preserve">Maternal mutation:</t>
  </si>
  <si>
    <t xml:space="preserve">Paternal mutation:</t>
  </si>
  <si>
    <t xml:space="preserve">Name:</t>
  </si>
  <si>
    <t xml:space="preserve">Disease OMIM:</t>
  </si>
  <si>
    <t xml:space="preserve">Reference Seq:</t>
  </si>
  <si>
    <t xml:space="preserve">Disease:</t>
  </si>
  <si>
    <t xml:space="preserve">Gene of Interest</t>
  </si>
  <si>
    <t xml:space="preserve">Gene OMIM:</t>
  </si>
  <si>
    <t xml:space="preserve">Gene of Interest:</t>
  </si>
  <si>
    <t xml:space="preserve">Paste Genome Coordinate</t>
  </si>
  <si>
    <t xml:space="preserve">Chromosome:</t>
  </si>
  <si>
    <t xml:space="preserve">Start</t>
  </si>
  <si>
    <t xml:space="preserve">End</t>
  </si>
  <si>
    <t xml:space="preserve">Genomic_range (GRCh38):</t>
  </si>
  <si>
    <t xml:space="preserve">Size, Flanking Region:</t>
  </si>
  <si>
    <t xml:space="preserve">MB</t>
  </si>
  <si>
    <t xml:space="preserve">(Default = 2MB)</t>
  </si>
  <si>
    <t xml:space="preserve">Template_version:</t>
  </si>
  <si>
    <t xml:space="preserve">V1.0.0</t>
  </si>
  <si>
    <t xml:space="preserve">SNP array analysis checklist</t>
  </si>
  <si>
    <t xml:space="preserve">SNP array run</t>
  </si>
  <si>
    <t xml:space="preserve">PRU #</t>
  </si>
  <si>
    <t xml:space="preserve">Patient Surname</t>
  </si>
  <si>
    <t xml:space="preserve">Patient Forename</t>
  </si>
  <si>
    <t xml:space="preserve">DNA #</t>
  </si>
  <si>
    <r>
      <rPr>
        <b val="true"/>
        <sz val="10"/>
        <color rgb="FF000000"/>
        <rFont val="Arial"/>
        <family val="2"/>
        <charset val="1"/>
      </rPr>
      <t xml:space="preserve">Genotyping QC call rate </t>
    </r>
    <r>
      <rPr>
        <b val="true"/>
        <sz val="10"/>
        <color rgb="FF000000"/>
        <rFont val="Calibri"/>
        <family val="2"/>
        <charset val="1"/>
      </rPr>
      <t xml:space="preserve">≥</t>
    </r>
    <r>
      <rPr>
        <b val="true"/>
        <sz val="10"/>
        <color rgb="FF000000"/>
        <rFont val="Arial"/>
        <family val="2"/>
        <charset val="1"/>
      </rPr>
      <t xml:space="preserve">97.5</t>
    </r>
  </si>
  <si>
    <t xml:space="preserve">Genotyping DQC ≥0.88</t>
  </si>
  <si>
    <r>
      <rPr>
        <b val="true"/>
        <sz val="10"/>
        <rFont val="Arial"/>
        <family val="2"/>
        <charset val="1"/>
      </rPr>
      <t xml:space="preserve">Copy number MAPD </t>
    </r>
    <r>
      <rPr>
        <b val="true"/>
        <sz val="10"/>
        <rFont val="Calibri"/>
        <family val="2"/>
        <charset val="1"/>
      </rPr>
      <t xml:space="preserve">≤</t>
    </r>
    <r>
      <rPr>
        <b val="true"/>
        <sz val="10"/>
        <rFont val="Arial"/>
        <family val="2"/>
        <charset val="1"/>
      </rPr>
      <t xml:space="preserve">0.28</t>
    </r>
  </si>
  <si>
    <t xml:space="preserve">Copy number SNP QC ≥10</t>
  </si>
  <si>
    <t xml:space="preserve">Sufficient informative SNPs (&gt;10 for each risk per 2Mb flank)</t>
  </si>
  <si>
    <t xml:space="preserve">CHAS Gender</t>
  </si>
  <si>
    <t xml:space="preserve">Operator</t>
  </si>
  <si>
    <t xml:space="preserve">Reg checker</t>
  </si>
  <si>
    <t xml:space="preserve">Precase</t>
  </si>
  <si>
    <t xml:space="preserve">Initials</t>
  </si>
  <si>
    <t xml:space="preserve">Date</t>
  </si>
  <si>
    <t xml:space="preserve">Family analysis created</t>
  </si>
  <si>
    <t xml:space="preserve">RHAS analysis completed</t>
  </si>
  <si>
    <t xml:space="preserve">Genotypes exported from MSV</t>
  </si>
  <si>
    <t xml:space="preserve">Sample gender checked in ChAS</t>
  </si>
  <si>
    <t xml:space="preserve">QC call rate/other QC metrics recorded</t>
  </si>
  <si>
    <t xml:space="preserve">Precase SNP haplotypes scored</t>
  </si>
  <si>
    <t xml:space="preserve">Non-WISE reporting</t>
  </si>
  <si>
    <t xml:space="preserve">BASH Results PDF generated and saved</t>
  </si>
  <si>
    <t xml:space="preserve">GeneWorks report created and checked</t>
  </si>
  <si>
    <t xml:space="preserve">Key</t>
  </si>
  <si>
    <r>
      <rPr>
        <sz val="10"/>
        <rFont val="Arial"/>
        <family val="2"/>
        <charset val="1"/>
      </rPr>
      <t xml:space="preserve">BASH: </t>
    </r>
    <r>
      <rPr>
        <b val="true"/>
        <sz val="10"/>
        <rFont val="Arial"/>
        <family val="2"/>
        <charset val="1"/>
      </rPr>
      <t xml:space="preserve">B</t>
    </r>
    <r>
      <rPr>
        <sz val="10"/>
        <rFont val="Arial"/>
        <family val="2"/>
        <charset val="1"/>
      </rPr>
      <t xml:space="preserve">i-</t>
    </r>
    <r>
      <rPr>
        <b val="true"/>
        <sz val="10"/>
        <rFont val="Arial"/>
        <family val="2"/>
        <charset val="1"/>
      </rPr>
      <t xml:space="preserve">A</t>
    </r>
    <r>
      <rPr>
        <sz val="10"/>
        <rFont val="Arial"/>
        <family val="2"/>
        <charset val="1"/>
      </rPr>
      <t xml:space="preserve">llelic </t>
    </r>
    <r>
      <rPr>
        <b val="true"/>
        <sz val="10"/>
        <rFont val="Arial"/>
        <family val="2"/>
        <charset val="1"/>
      </rPr>
      <t xml:space="preserve">S</t>
    </r>
    <r>
      <rPr>
        <sz val="10"/>
        <rFont val="Arial"/>
        <family val="2"/>
        <charset val="1"/>
      </rPr>
      <t xml:space="preserve">NP </t>
    </r>
    <r>
      <rPr>
        <b val="true"/>
        <sz val="10"/>
        <rFont val="Arial"/>
        <family val="2"/>
        <charset val="1"/>
      </rPr>
      <t xml:space="preserve">H</t>
    </r>
    <r>
      <rPr>
        <sz val="10"/>
        <rFont val="Arial"/>
        <family val="2"/>
        <charset val="1"/>
      </rPr>
      <t xml:space="preserve">aplotypes</t>
    </r>
  </si>
  <si>
    <t xml:space="preserve">..\..\..\..\Current\PGD\pgd results\SNP array\Genotyping data from MSV &amp; ChAS detail view exports</t>
  </si>
  <si>
    <t xml:space="preserve">Report</t>
  </si>
  <si>
    <t xml:space="preserve">Comments</t>
  </si>
  <si>
    <t xml:space="preserve">Biopsy #</t>
  </si>
  <si>
    <t xml:space="preserve">Embryo Spec number</t>
  </si>
  <si>
    <t xml:space="preserve">Embryo #</t>
  </si>
  <si>
    <t xml:space="preserve">Embryo sample ID</t>
  </si>
  <si>
    <t xml:space="preserve">PGT-M results</t>
  </si>
  <si>
    <t xml:space="preserve">PGT-A results  Log2,BAF,Allele difference</t>
  </si>
  <si>
    <t xml:space="preserve">Direct test results</t>
  </si>
  <si>
    <t xml:space="preserve">Manual inspection required for further SNPs</t>
  </si>
  <si>
    <t xml:space="preserve">Embryo status</t>
  </si>
  <si>
    <t xml:space="preserve">Embryo</t>
  </si>
  <si>
    <t xml:space="preserve">Biopsy diagnosis</t>
  </si>
  <si>
    <t xml:space="preserve">Suitable for transfer</t>
  </si>
  <si>
    <t xml:space="preserve">Case</t>
  </si>
  <si>
    <t xml:space="preserve">Embryos analysed RHAS &amp; CHAS</t>
  </si>
  <si>
    <t xml:space="preserve">Embryos results entered  RHAS &amp; CHAS</t>
  </si>
  <si>
    <t xml:space="preserve">First scorer</t>
  </si>
  <si>
    <t xml:space="preserve">Reg scorer</t>
  </si>
  <si>
    <t xml:space="preserve">Reporting</t>
  </si>
  <si>
    <t xml:space="preserve">PGD case #:</t>
  </si>
  <si>
    <t xml:space="preserve">Batch sequencing run: BS</t>
  </si>
  <si>
    <t xml:space="preserve">      </t>
  </si>
  <si>
    <t xml:space="preserve">Headers/footers to update</t>
  </si>
  <si>
    <t xml:space="preserve">Instructions:</t>
  </si>
  <si>
    <t xml:space="preserve">PRU #:</t>
  </si>
  <si>
    <r>
      <rPr>
        <sz val="11"/>
        <rFont val="Arial"/>
        <family val="2"/>
        <charset val="1"/>
      </rPr>
      <t xml:space="preserve">First scorer: complete</t>
    </r>
    <r>
      <rPr>
        <sz val="11"/>
        <color rgb="FFFF0000"/>
        <rFont val="Arial"/>
        <family val="2"/>
        <charset val="1"/>
      </rPr>
      <t xml:space="preserve"> </t>
    </r>
    <r>
      <rPr>
        <sz val="11"/>
        <color rgb="FF0000FF"/>
        <rFont val="Arial"/>
        <family val="2"/>
        <charset val="1"/>
      </rPr>
      <t xml:space="preserve">blue boxes </t>
    </r>
    <r>
      <rPr>
        <sz val="11"/>
        <rFont val="Arial"/>
        <family val="2"/>
        <charset val="1"/>
      </rPr>
      <t xml:space="preserve">and sample names</t>
    </r>
  </si>
  <si>
    <t xml:space="preserve">ACU #:</t>
  </si>
  <si>
    <t xml:space="preserve">ABI files saved in: P:\DNA LAB\Current\Batched Sequencing Files</t>
  </si>
  <si>
    <r>
      <rPr>
        <sz val="11"/>
        <rFont val="Arial"/>
        <family val="2"/>
        <charset val="1"/>
      </rPr>
      <t xml:space="preserve">First scorer: score samples then hide columns </t>
    </r>
    <r>
      <rPr>
        <b val="true"/>
        <sz val="11"/>
        <rFont val="Arial"/>
        <family val="2"/>
        <charset val="1"/>
      </rPr>
      <t xml:space="preserve">D to F </t>
    </r>
  </si>
  <si>
    <t xml:space="preserve">MDA date:</t>
  </si>
  <si>
    <r>
      <rPr>
        <sz val="11"/>
        <rFont val="Arial"/>
        <family val="2"/>
        <charset val="1"/>
      </rPr>
      <t xml:space="preserve">Registered scorer: score samples then unhide columns </t>
    </r>
    <r>
      <rPr>
        <b val="true"/>
        <sz val="11"/>
        <rFont val="Arial"/>
        <family val="2"/>
        <charset val="1"/>
      </rPr>
      <t xml:space="preserve">D to F</t>
    </r>
    <r>
      <rPr>
        <sz val="11"/>
        <rFont val="Arial"/>
        <family val="2"/>
        <charset val="1"/>
      </rPr>
      <t xml:space="preserve"> and check first score</t>
    </r>
  </si>
  <si>
    <t xml:space="preserve">Quality key: 2 – good (F and/or R), 1 – sufficient quality, 0 - no amplification</t>
  </si>
  <si>
    <t xml:space="preserve">Registered scorer: decide which embryos to run on SNP arrays</t>
  </si>
  <si>
    <t xml:space="preserve">Gene:</t>
  </si>
  <si>
    <t xml:space="preserve">F refers to F_Synthesis and R refers to R_Synthesis</t>
  </si>
  <si>
    <t xml:space="preserve">Mutation:</t>
  </si>
  <si>
    <t xml:space="preserve">First score</t>
  </si>
  <si>
    <t xml:space="preserve">Registered score</t>
  </si>
  <si>
    <t xml:space="preserve">Proceed to SNP array?</t>
  </si>
  <si>
    <t xml:space="preserve">Sample Ref (Spec#.embryo#)</t>
  </si>
  <si>
    <t xml:space="preserve">Result</t>
  </si>
  <si>
    <t xml:space="preserve">Quality</t>
  </si>
  <si>
    <t xml:space="preserve"> Positive control:</t>
  </si>
  <si>
    <t xml:space="preserve">Enter DNA#.Name here</t>
  </si>
  <si>
    <t xml:space="preserve">PCR neg</t>
  </si>
  <si>
    <t xml:space="preserve">Results by:</t>
  </si>
  <si>
    <t xml:space="preserve">Decision by:</t>
  </si>
  <si>
    <t xml:space="preserve">Date:</t>
  </si>
  <si>
    <t xml:space="preserve">Checked by:</t>
  </si>
  <si>
    <t xml:space="preserve">Date of ABI/agarose gel run:</t>
  </si>
  <si>
    <t xml:space="preserve">Quality key: 2 – good quality, 1 – sufficient quality, 0 - no amplification</t>
  </si>
  <si>
    <t xml:space="preserve">Male partner:</t>
  </si>
  <si>
    <t xml:space="preserve">Female partner:</t>
  </si>
  <si>
    <t xml:space="preserve">Instructions: First scorer</t>
  </si>
  <si>
    <t xml:space="preserve">HBB</t>
  </si>
  <si>
    <r>
      <rPr>
        <sz val="11"/>
        <rFont val="Arial"/>
        <family val="2"/>
        <charset val="1"/>
      </rPr>
      <t xml:space="preserve">Complete</t>
    </r>
    <r>
      <rPr>
        <sz val="11"/>
        <color rgb="FFFF0000"/>
        <rFont val="Arial"/>
        <family val="2"/>
        <charset val="1"/>
      </rPr>
      <t xml:space="preserve"> </t>
    </r>
    <r>
      <rPr>
        <sz val="11"/>
        <color rgb="FF0000FF"/>
        <rFont val="Arial"/>
        <family val="2"/>
        <charset val="1"/>
      </rPr>
      <t xml:space="preserve">blue boxes </t>
    </r>
    <r>
      <rPr>
        <sz val="11"/>
        <rFont val="Arial"/>
        <family val="2"/>
        <charset val="1"/>
      </rPr>
      <t xml:space="preserve">and sample names</t>
    </r>
  </si>
  <si>
    <t xml:space="preserve">ARMS testing:</t>
  </si>
  <si>
    <t xml:space="preserve">Score samples using dropdown list and controls using check boxes/dropdown (tick to indicate presence of fragment/0 - no amplification, 1 - low level amplification/low background, 2 - good amplification)</t>
  </si>
  <si>
    <t xml:space="preserve">Grey out any rows/columns not required, e.g. HbC scoring</t>
  </si>
  <si>
    <t xml:space="preserve">GeneMarker projects saved in: P:\DNA LAB\Current\PGD\pgd results\PGD Cases</t>
  </si>
  <si>
    <r>
      <rPr>
        <sz val="11"/>
        <rFont val="Arial"/>
        <family val="2"/>
        <charset val="1"/>
      </rPr>
      <t xml:space="preserve">Hide columns </t>
    </r>
    <r>
      <rPr>
        <b val="true"/>
        <sz val="11"/>
        <rFont val="Arial"/>
        <family val="2"/>
        <charset val="1"/>
      </rPr>
      <t xml:space="preserve">D to J</t>
    </r>
  </si>
  <si>
    <t xml:space="preserve">Instructions: Registered scorer</t>
  </si>
  <si>
    <t xml:space="preserve">Results</t>
  </si>
  <si>
    <r>
      <rPr>
        <sz val="11"/>
        <color rgb="FF000000"/>
        <rFont val="Arial"/>
        <family val="2"/>
        <charset val="1"/>
      </rPr>
      <t xml:space="preserve">Unhide columns </t>
    </r>
    <r>
      <rPr>
        <b val="true"/>
        <sz val="11"/>
        <color rgb="FF000000"/>
        <rFont val="Arial"/>
        <family val="2"/>
        <charset val="1"/>
      </rPr>
      <t xml:space="preserve">D to J</t>
    </r>
    <r>
      <rPr>
        <sz val="11"/>
        <color rgb="FF000000"/>
        <rFont val="Arial"/>
        <family val="2"/>
        <charset val="1"/>
      </rPr>
      <t xml:space="preserve"> and check first score</t>
    </r>
  </si>
  <si>
    <t xml:space="preserve">Control fragment</t>
  </si>
  <si>
    <t xml:space="preserve">Allele 1 </t>
  </si>
  <si>
    <t xml:space="preserve">Allele 2</t>
  </si>
  <si>
    <t xml:space="preserve">HbA</t>
  </si>
  <si>
    <t xml:space="preserve">HbS</t>
  </si>
  <si>
    <t xml:space="preserve">HbC</t>
  </si>
  <si>
    <t xml:space="preserve">HbA ARMS PCR</t>
  </si>
  <si>
    <t xml:space="preserve">HbS ARMS PCR</t>
  </si>
  <si>
    <t xml:space="preserve">HbC ARMS PCR</t>
  </si>
  <si>
    <t xml:space="preserve">Control sample</t>
  </si>
  <si>
    <t xml:space="preserve">Control frag</t>
  </si>
  <si>
    <t xml:space="preserve">HbAA</t>
  </si>
  <si>
    <t xml:space="preserve">HbAS</t>
  </si>
  <si>
    <t xml:space="preserve">HbSS</t>
  </si>
  <si>
    <t xml:space="preserve">HbAC</t>
  </si>
  <si>
    <t xml:space="preserve">HbSC</t>
  </si>
  <si>
    <t xml:space="preserve">Autosomal_Dominant</t>
  </si>
  <si>
    <t xml:space="preserve">Male</t>
  </si>
  <si>
    <t xml:space="preserve">Carrier (XL)</t>
  </si>
  <si>
    <t xml:space="preserve">grandfather</t>
  </si>
  <si>
    <t xml:space="preserve">maternal</t>
  </si>
  <si>
    <t xml:space="preserve">X-Linked</t>
  </si>
  <si>
    <t xml:space="preserve">Autosomal_Recessive</t>
  </si>
  <si>
    <t xml:space="preserve">Yes</t>
  </si>
  <si>
    <t xml:space="preserve">GRCh38</t>
  </si>
  <si>
    <t xml:space="preserve">Purpose</t>
  </si>
  <si>
    <t xml:space="preserve">Formula</t>
  </si>
  <si>
    <t xml:space="preserve">biopsy_number</t>
  </si>
  <si>
    <t xml:space="preserve">Female</t>
  </si>
  <si>
    <t xml:space="preserve">Affected</t>
  </si>
  <si>
    <t xml:space="preserve">grandmother</t>
  </si>
  <si>
    <t xml:space="preserve">paternal</t>
  </si>
  <si>
    <t xml:space="preserve">No</t>
  </si>
  <si>
    <t xml:space="preserve">GRCh37</t>
  </si>
  <si>
    <t xml:space="preserve">return permitted sex per mode of inheritance</t>
  </si>
  <si>
    <t xml:space="preserve">chromosome</t>
  </si>
  <si>
    <t xml:space="preserve">Unknown</t>
  </si>
  <si>
    <t xml:space="preserve">Unaffected</t>
  </si>
  <si>
    <t xml:space="preserve">cousin</t>
  </si>
  <si>
    <t xml:space="preserve">Ref Sex</t>
  </si>
  <si>
    <t xml:space="preserve">consanguineous</t>
  </si>
  <si>
    <t xml:space="preserve">uncle</t>
  </si>
  <si>
    <t xml:space="preserve">--&gt;</t>
  </si>
  <si>
    <t xml:space="preserve">de_novo</t>
  </si>
  <si>
    <t xml:space="preserve">aunt</t>
  </si>
  <si>
    <t xml:space="preserve">disease</t>
  </si>
  <si>
    <t xml:space="preserve">reference status</t>
  </si>
  <si>
    <t xml:space="preserve">disease_omim</t>
  </si>
  <si>
    <t xml:space="preserve">Status</t>
  </si>
  <si>
    <t xml:space="preserve">Carrier(XL)</t>
  </si>
  <si>
    <t xml:space="preserve">embryo_data</t>
  </si>
  <si>
    <t xml:space="preserve">exclusion</t>
  </si>
  <si>
    <t xml:space="preserve">Unaffected </t>
  </si>
  <si>
    <t xml:space="preserve">Relation</t>
  </si>
  <si>
    <t xml:space="preserve">female_partner_hosp_num</t>
  </si>
  <si>
    <t xml:space="preserve">Father</t>
  </si>
  <si>
    <t xml:space="preserve">Son</t>
  </si>
  <si>
    <t xml:space="preserve">gene</t>
  </si>
  <si>
    <t xml:space="preserve">Mother</t>
  </si>
  <si>
    <t xml:space="preserve">Daughter</t>
  </si>
  <si>
    <t xml:space="preserve">gene_end</t>
  </si>
  <si>
    <t xml:space="preserve">gene_omim</t>
  </si>
  <si>
    <t xml:space="preserve">Prenatal</t>
  </si>
  <si>
    <t xml:space="preserve">gene_start</t>
  </si>
  <si>
    <t xml:space="preserve">input_file</t>
  </si>
  <si>
    <t xml:space="preserve">Relationship</t>
  </si>
  <si>
    <t xml:space="preserve">maternal_mutation</t>
  </si>
  <si>
    <t xml:space="preserve">female_partner</t>
  </si>
  <si>
    <t xml:space="preserve">both</t>
  </si>
  <si>
    <t xml:space="preserve">mode_of_inheritance</t>
  </si>
  <si>
    <t xml:space="preserve">male_partner</t>
  </si>
  <si>
    <t xml:space="preserve">mult_analysis</t>
  </si>
  <si>
    <t xml:space="preserve">partner_details</t>
  </si>
  <si>
    <t xml:space="preserve">paste_gene</t>
  </si>
  <si>
    <t xml:space="preserve">paternal_mutation</t>
  </si>
  <si>
    <t xml:space="preserve">pgd_worksheet</t>
  </si>
  <si>
    <t xml:space="preserve">AR </t>
  </si>
  <si>
    <t xml:space="preserve">AD</t>
  </si>
  <si>
    <t xml:space="preserve">x-linked</t>
  </si>
  <si>
    <t xml:space="preserve">pgd_worksheet_denovo</t>
  </si>
  <si>
    <t xml:space="preserve">X</t>
  </si>
  <si>
    <t xml:space="preserve">Never unknown for partners sex</t>
  </si>
  <si>
    <t xml:space="preserve">pru</t>
  </si>
  <si>
    <t xml:space="preserve">Y</t>
  </si>
  <si>
    <t xml:space="preserve">Reference - AR - will never be carrier</t>
  </si>
  <si>
    <t xml:space="preserve">Reference - AD - will never be carrier</t>
  </si>
  <si>
    <t xml:space="preserve">Reference - always to the carrier female</t>
  </si>
  <si>
    <t xml:space="preserve">ref_relationship</t>
  </si>
  <si>
    <t xml:space="preserve">AR - reference - always a child/prenatal</t>
  </si>
  <si>
    <t xml:space="preserve">Relationship to affected partner</t>
  </si>
  <si>
    <t xml:space="preserve">father</t>
  </si>
  <si>
    <t xml:space="preserve">ref_relationship_to_couple</t>
  </si>
  <si>
    <t xml:space="preserve">AR reference always child - dropdown child/prenatal/embryo</t>
  </si>
  <si>
    <t xml:space="preserve">mother</t>
  </si>
  <si>
    <t xml:space="preserve">ref_seq</t>
  </si>
  <si>
    <t xml:space="preserve">Maternal/Paternal always child so not required</t>
  </si>
  <si>
    <t xml:space="preserve">son</t>
  </si>
  <si>
    <t xml:space="preserve">ref_status</t>
  </si>
  <si>
    <t xml:space="preserve">daughter</t>
  </si>
  <si>
    <t xml:space="preserve">Maternal - reference always Mat</t>
  </si>
  <si>
    <t xml:space="preserve">reference</t>
  </si>
  <si>
    <t xml:space="preserve">embryo</t>
  </si>
  <si>
    <t xml:space="preserve">Add box for Exclusion</t>
  </si>
</sst>
</file>

<file path=xl/styles.xml><?xml version="1.0" encoding="utf-8"?>
<styleSheet xmlns="http://schemas.openxmlformats.org/spreadsheetml/2006/main">
  <numFmts count="5">
    <numFmt numFmtId="164" formatCode="General"/>
    <numFmt numFmtId="165" formatCode="dd/mm/yy;@"/>
    <numFmt numFmtId="166" formatCode="General"/>
    <numFmt numFmtId="167" formatCode="dd/mm/yyyy"/>
    <numFmt numFmtId="168" formatCode="@"/>
  </numFmts>
  <fonts count="35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sz val="11"/>
      <color rgb="FFFF0000"/>
      <name val="Calibri"/>
      <family val="2"/>
      <charset val="1"/>
    </font>
    <font>
      <b val="true"/>
      <sz val="11"/>
      <color rgb="FFFF0000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1"/>
      <color rgb="FF444444"/>
      <name val="Calibri"/>
      <family val="2"/>
      <charset val="1"/>
    </font>
    <font>
      <sz val="11"/>
      <name val="Calibri"/>
      <family val="2"/>
      <charset val="1"/>
    </font>
    <font>
      <b val="true"/>
      <sz val="11"/>
      <color rgb="FFFFFFFF"/>
      <name val="Calibri"/>
      <family val="0"/>
    </font>
    <font>
      <sz val="11"/>
      <color rgb="FFFFFFFF"/>
      <name val="Calibri"/>
      <family val="0"/>
    </font>
    <font>
      <b val="true"/>
      <sz val="11"/>
      <color rgb="FF000000"/>
      <name val="Calibri"/>
      <family val="0"/>
    </font>
    <font>
      <sz val="11"/>
      <color rgb="FF000000"/>
      <name val="Calibri"/>
      <family val="0"/>
      <charset val="1"/>
    </font>
    <font>
      <sz val="10"/>
      <color rgb="FF000000"/>
      <name val="Arial"/>
      <family val="2"/>
      <charset val="1"/>
    </font>
    <font>
      <b val="true"/>
      <sz val="12"/>
      <name val="Arial"/>
      <family val="2"/>
      <charset val="1"/>
    </font>
    <font>
      <b val="true"/>
      <sz val="10"/>
      <color rgb="FF000000"/>
      <name val="Arial"/>
      <family val="2"/>
      <charset val="1"/>
    </font>
    <font>
      <b val="true"/>
      <sz val="10"/>
      <color rgb="FF000000"/>
      <name val="Calibri"/>
      <family val="2"/>
      <charset val="1"/>
    </font>
    <font>
      <b val="true"/>
      <sz val="10"/>
      <name val="Arial"/>
      <family val="2"/>
      <charset val="1"/>
    </font>
    <font>
      <b val="true"/>
      <sz val="10"/>
      <name val="Calibri"/>
      <family val="2"/>
      <charset val="1"/>
    </font>
    <font>
      <sz val="10"/>
      <name val="Arial"/>
      <family val="2"/>
      <charset val="1"/>
    </font>
    <font>
      <b val="true"/>
      <sz val="10"/>
      <color rgb="FFFF0000"/>
      <name val="Arial"/>
      <family val="2"/>
      <charset val="1"/>
    </font>
    <font>
      <sz val="10"/>
      <color rgb="FFFF0000"/>
      <name val="Arial"/>
      <family val="2"/>
      <charset val="1"/>
    </font>
    <font>
      <u val="single"/>
      <sz val="11"/>
      <color rgb="FF0563C1"/>
      <name val="Calibri"/>
      <family val="2"/>
      <charset val="1"/>
    </font>
    <font>
      <b val="true"/>
      <sz val="12"/>
      <color rgb="FF000000"/>
      <name val="Arial"/>
      <family val="2"/>
      <charset val="1"/>
    </font>
    <font>
      <b val="true"/>
      <sz val="11"/>
      <color rgb="FF000000"/>
      <name val="Arial"/>
      <family val="2"/>
      <charset val="1"/>
    </font>
    <font>
      <sz val="11"/>
      <color rgb="FF000000"/>
      <name val="Arial"/>
      <family val="2"/>
      <charset val="1"/>
    </font>
    <font>
      <sz val="11"/>
      <name val="Arial"/>
      <family val="2"/>
      <charset val="1"/>
    </font>
    <font>
      <sz val="11"/>
      <color rgb="FFFF0000"/>
      <name val="Arial"/>
      <family val="2"/>
      <charset val="1"/>
    </font>
    <font>
      <sz val="11"/>
      <color rgb="FF0000FF"/>
      <name val="Arial"/>
      <family val="2"/>
      <charset val="1"/>
    </font>
    <font>
      <b val="true"/>
      <sz val="11"/>
      <name val="Arial"/>
      <family val="2"/>
      <charset val="1"/>
    </font>
    <font>
      <b val="true"/>
      <sz val="11"/>
      <color rgb="FF00B050"/>
      <name val="Arial"/>
      <family val="2"/>
      <charset val="1"/>
    </font>
    <font>
      <b val="true"/>
      <sz val="11"/>
      <color rgb="FFFF0000"/>
      <name val="Arial"/>
      <family val="2"/>
      <charset val="1"/>
    </font>
    <font>
      <b val="true"/>
      <sz val="11"/>
      <color rgb="FF0000FF"/>
      <name val="Arial"/>
      <family val="2"/>
      <charset val="1"/>
    </font>
    <font>
      <sz val="11"/>
      <color rgb="FFFFFFFF"/>
      <name val="Calibri"/>
      <family val="2"/>
      <charset val="1"/>
    </font>
  </fonts>
  <fills count="25">
    <fill>
      <patternFill patternType="none"/>
    </fill>
    <fill>
      <patternFill patternType="gray125"/>
    </fill>
    <fill>
      <patternFill patternType="solid">
        <fgColor rgb="FFBF8F00"/>
        <bgColor rgb="FFC65911"/>
      </patternFill>
    </fill>
    <fill>
      <patternFill patternType="solid">
        <fgColor rgb="FF2F75B5"/>
        <bgColor rgb="FF4472C4"/>
      </patternFill>
    </fill>
    <fill>
      <patternFill patternType="solid">
        <fgColor rgb="FFC65911"/>
        <bgColor rgb="FF993300"/>
      </patternFill>
    </fill>
    <fill>
      <patternFill patternType="solid">
        <fgColor rgb="FFFFD966"/>
        <bgColor rgb="FFF4B084"/>
      </patternFill>
    </fill>
    <fill>
      <patternFill patternType="solid">
        <fgColor rgb="FF9BC2E6"/>
        <bgColor rgb="FFBFBFBF"/>
      </patternFill>
    </fill>
    <fill>
      <patternFill patternType="solid">
        <fgColor rgb="FFF4B084"/>
        <bgColor rgb="FFFFC7CE"/>
      </patternFill>
    </fill>
    <fill>
      <patternFill patternType="solid">
        <fgColor rgb="FFFFFF00"/>
        <bgColor rgb="FFFFD966"/>
      </patternFill>
    </fill>
    <fill>
      <patternFill patternType="solid">
        <fgColor rgb="FF4472C4"/>
        <bgColor rgb="FF2F75B5"/>
      </patternFill>
    </fill>
    <fill>
      <patternFill patternType="solid">
        <fgColor rgb="FF757171"/>
        <bgColor rgb="FF666699"/>
      </patternFill>
    </fill>
    <fill>
      <patternFill patternType="solid">
        <fgColor rgb="FFD0CECE"/>
        <bgColor rgb="FFBFBFBF"/>
      </patternFill>
    </fill>
    <fill>
      <patternFill patternType="solid">
        <fgColor rgb="FFFFFFFF"/>
        <bgColor rgb="FFFFFFCC"/>
      </patternFill>
    </fill>
    <fill>
      <patternFill patternType="solid">
        <fgColor rgb="FF548235"/>
        <bgColor rgb="FF757171"/>
      </patternFill>
    </fill>
    <fill>
      <patternFill patternType="solid">
        <fgColor rgb="FFA9D08E"/>
        <bgColor rgb="FFA9D18E"/>
      </patternFill>
    </fill>
    <fill>
      <patternFill patternType="solid">
        <fgColor rgb="FFA9D18E"/>
        <bgColor rgb="FFA9D08E"/>
      </patternFill>
    </fill>
    <fill>
      <patternFill patternType="solid">
        <fgColor rgb="FFE7E6E6"/>
        <bgColor rgb="FFCCECFF"/>
      </patternFill>
    </fill>
    <fill>
      <patternFill patternType="solid">
        <fgColor rgb="FFBFBFBF"/>
        <bgColor rgb="FFD0CECE"/>
      </patternFill>
    </fill>
    <fill>
      <patternFill patternType="solid">
        <fgColor rgb="FFFFFFCC"/>
        <bgColor rgb="FFFFFFFF"/>
      </patternFill>
    </fill>
    <fill>
      <patternFill patternType="solid">
        <fgColor rgb="FFCCECFF"/>
        <bgColor rgb="FFC6EFCE"/>
      </patternFill>
    </fill>
    <fill>
      <patternFill patternType="solid">
        <fgColor rgb="FFBDD7EE"/>
        <bgColor rgb="FFD0CECE"/>
      </patternFill>
    </fill>
    <fill>
      <patternFill patternType="solid">
        <fgColor rgb="FFC5E0B4"/>
        <bgColor rgb="FFC6EFCE"/>
      </patternFill>
    </fill>
    <fill>
      <patternFill patternType="solid">
        <fgColor rgb="FFFF0000"/>
        <bgColor rgb="FF9C0006"/>
      </patternFill>
    </fill>
    <fill>
      <patternFill patternType="solid">
        <fgColor rgb="FFAEAAAA"/>
        <bgColor rgb="FFBFBFBF"/>
      </patternFill>
    </fill>
    <fill>
      <patternFill patternType="solid">
        <fgColor rgb="FF92D050"/>
        <bgColor rgb="FFA9D08E"/>
      </patternFill>
    </fill>
  </fills>
  <borders count="4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ck">
        <color rgb="FFFF0000"/>
      </right>
      <top/>
      <bottom/>
      <diagonal/>
    </border>
    <border diagonalUp="false" diagonalDown="false"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 diagonalUp="false" diagonalDown="false">
      <left/>
      <right/>
      <top style="thick">
        <color rgb="FFFF0000"/>
      </top>
      <bottom style="thin"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medium">
        <color rgb="FF0000FF"/>
      </left>
      <right style="medium">
        <color rgb="FF0000FF"/>
      </right>
      <top style="medium">
        <color rgb="FF0000FF"/>
      </top>
      <bottom style="medium">
        <color rgb="FF0000FF"/>
      </bottom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/>
      <top style="medium"/>
      <bottom style="medium"/>
      <diagonal/>
    </border>
    <border diagonalUp="false" diagonalDown="false">
      <left style="medium"/>
      <right style="thin"/>
      <top style="thin"/>
      <bottom style="medium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medium"/>
      <right/>
      <top/>
      <bottom style="thin"/>
      <diagonal/>
    </border>
    <border diagonalUp="false" diagonalDown="false">
      <left style="medium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medium"/>
      <right style="medium"/>
      <top style="medium"/>
      <bottom style="thin"/>
      <diagonal/>
    </border>
    <border diagonalUp="false" diagonalDown="false">
      <left style="medium"/>
      <right/>
      <top style="thin"/>
      <bottom style="thin"/>
      <diagonal/>
    </border>
    <border diagonalUp="false" diagonalDown="false">
      <left style="medium"/>
      <right style="thin"/>
      <top style="thin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medium"/>
      <right style="medium"/>
      <top style="thin"/>
      <bottom style="thin"/>
      <diagonal/>
    </border>
    <border diagonalUp="false" diagonalDown="false">
      <left style="medium"/>
      <right/>
      <top style="thin"/>
      <bottom/>
      <diagonal/>
    </border>
    <border diagonalUp="false" diagonalDown="false">
      <left style="medium"/>
      <right style="thin"/>
      <top style="thin"/>
      <bottom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 style="medium"/>
      <top style="thin"/>
      <bottom/>
      <diagonal/>
    </border>
    <border diagonalUp="false" diagonalDown="false">
      <left style="medium"/>
      <right style="medium"/>
      <top style="thin"/>
      <bottom style="medium"/>
      <diagonal/>
    </border>
    <border diagonalUp="false" diagonalDown="false">
      <left style="medium"/>
      <right style="thin"/>
      <top style="medium"/>
      <bottom style="thin"/>
      <diagonal/>
    </border>
    <border diagonalUp="false" diagonalDown="false">
      <left style="thin"/>
      <right/>
      <top style="medium"/>
      <bottom style="thin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medium"/>
      <right/>
      <top style="thin"/>
      <bottom style="medium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/>
      <top/>
      <bottom/>
      <diagonal/>
    </border>
    <border diagonalUp="false" diagonalDown="false">
      <left/>
      <right style="medium"/>
      <top/>
      <bottom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 style="medium"/>
      <top style="medium"/>
      <bottom/>
      <diagonal/>
    </border>
    <border diagonalUp="false" diagonalDown="false">
      <left style="thin"/>
      <right/>
      <top style="thin"/>
      <bottom style="medium"/>
      <diagonal/>
    </border>
    <border diagonalUp="false" diagonalDown="false">
      <left/>
      <right style="thin"/>
      <top style="medium"/>
      <bottom style="thin"/>
      <diagonal/>
    </border>
    <border diagonalUp="false" diagonalDown="false">
      <left/>
      <right style="thin"/>
      <top/>
      <bottom style="thin"/>
      <diagonal/>
    </border>
    <border diagonalUp="false" diagonalDown="false">
      <left/>
      <right style="thin"/>
      <top/>
      <bottom style="medium"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thin"/>
      <right style="medium"/>
      <top/>
      <bottom style="medium"/>
      <diagonal/>
    </border>
    <border diagonalUp="false" diagonalDown="false">
      <left style="medium"/>
      <right style="thin"/>
      <top/>
      <bottom style="medium"/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23" fillId="0" borderId="0" applyFont="true" applyBorder="false" applyAlignment="true" applyProtection="false">
      <alignment horizontal="general" vertical="bottom" textRotation="0" wrapText="false" indent="0" shrinkToFit="false"/>
    </xf>
  </cellStyleXfs>
  <cellXfs count="22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2" borderId="1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4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5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6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6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5" fillId="7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7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7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5" borderId="2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8" borderId="3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5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5" borderId="4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5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6" fillId="6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9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10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0" fillId="0" borderId="6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7" fillId="11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4" fillId="11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11" borderId="0" xfId="0" applyFont="false" applyBorder="false" applyAlignment="true" applyProtection="true">
      <alignment horizontal="center" vertical="bottom" textRotation="0" wrapText="false" indent="0" shrinkToFit="false"/>
      <protection locked="true" hidden="false"/>
    </xf>
    <xf numFmtId="164" fontId="0" fillId="11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8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12" borderId="1" xfId="0" applyFont="fals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1" borderId="7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13" borderId="0" xfId="0" applyFont="true" applyBorder="true" applyAlignment="true" applyProtection="true">
      <alignment horizontal="center" vertical="bottom" textRotation="0" wrapText="false" indent="0" shrinkToFit="false"/>
      <protection locked="true" hidden="false"/>
    </xf>
    <xf numFmtId="164" fontId="4" fillId="14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14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15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9" fillId="12" borderId="8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15" borderId="0" xfId="0" applyFont="false" applyBorder="false" applyAlignment="false" applyProtection="true">
      <alignment horizontal="general" vertical="bottom" textRotation="0" wrapText="false" indent="0" shrinkToFit="false"/>
      <protection locked="true" hidden="false"/>
    </xf>
    <xf numFmtId="166" fontId="8" fillId="16" borderId="1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4" fillId="14" borderId="0" xfId="0" applyFont="true" applyBorder="false" applyAlignment="true" applyProtection="true">
      <alignment horizontal="center" vertical="bottom" textRotation="0" wrapText="false" indent="0" shrinkToFit="false"/>
      <protection locked="true" hidden="false"/>
    </xf>
    <xf numFmtId="166" fontId="8" fillId="16" borderId="5" xfId="0" applyFont="true" applyBorder="true" applyAlignment="false" applyProtection="tru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true">
      <alignment horizontal="general" vertical="bottom" textRotation="0" wrapText="false" indent="0" shrinkToFit="false"/>
      <protection locked="true" hidden="false"/>
    </xf>
    <xf numFmtId="164" fontId="14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15" fillId="0" borderId="0" xfId="0" applyFont="true" applyBorder="false" applyAlignment="true" applyProtection="true">
      <alignment horizontal="general" vertical="center" textRotation="0" wrapText="false" indent="0" shrinkToFit="false"/>
      <protection locked="false" hidden="false"/>
    </xf>
    <xf numFmtId="164" fontId="16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0" borderId="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8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8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7" fontId="1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17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14" fillId="17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7" fontId="14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0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0" fillId="8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1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2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3" fillId="8" borderId="0" xfId="2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1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4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18" fillId="18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18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8" fillId="8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19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8" fillId="19" borderId="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16" fillId="0" borderId="1" xfId="0" applyFont="true" applyBorder="true" applyAlignment="true" applyProtection="true">
      <alignment horizontal="general" vertical="bottom" textRotation="0" wrapText="true" indent="0" shrinkToFit="false"/>
      <protection locked="false" hidden="false"/>
    </xf>
    <xf numFmtId="164" fontId="20" fillId="18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8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14" fillId="1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8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6" fontId="14" fillId="19" borderId="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19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4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0" fillId="18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2" fillId="0" borderId="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2" fillId="8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2" fillId="0" borderId="0" xfId="0" applyFont="true" applyBorder="false" applyAlignment="true" applyProtection="true">
      <alignment horizontal="left" vertical="bottom" textRotation="0" wrapText="false" indent="0" shrinkToFit="false"/>
      <protection locked="false" hidden="false"/>
    </xf>
    <xf numFmtId="164" fontId="25" fillId="0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2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right" vertical="center" textRotation="0" wrapText="false" indent="0" shrinkToFit="false"/>
      <protection locked="true" hidden="false"/>
    </xf>
    <xf numFmtId="168" fontId="26" fillId="0" borderId="9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25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6" fillId="0" borderId="9" xfId="0" applyFont="true" applyBorder="true" applyAlignment="true" applyProtection="true">
      <alignment horizontal="left" vertical="center" textRotation="0" wrapText="false" indent="0" shrinkToFit="false"/>
      <protection locked="false" hidden="false"/>
    </xf>
    <xf numFmtId="164" fontId="26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8" borderId="0" xfId="0" applyFont="true" applyBorder="false" applyAlignment="true" applyProtection="true">
      <alignment horizontal="left" vertical="center" textRotation="0" wrapText="false" indent="0" shrinkToFit="false"/>
      <protection locked="false" hidden="false"/>
    </xf>
    <xf numFmtId="164" fontId="26" fillId="18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1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26" fillId="0" borderId="9" xfId="0" applyFont="true" applyBorder="true" applyAlignment="true" applyProtection="true">
      <alignment horizontal="left" vertical="bottom" textRotation="0" wrapText="false" indent="0" shrinkToFit="false"/>
      <protection locked="false" hidden="false"/>
    </xf>
    <xf numFmtId="164" fontId="27" fillId="2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7" fillId="2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4" fontId="26" fillId="21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6" fillId="21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6" fillId="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0" xfId="0" applyFont="tru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25" fillId="1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2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6" fillId="21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2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5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16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17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18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19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6" fillId="0" borderId="20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21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2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23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6" fillId="0" borderId="24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2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26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27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28" xfId="0" applyFont="true" applyBorder="true" applyAlignment="true" applyProtection="true">
      <alignment horizontal="center" vertical="center" textRotation="0" wrapText="false" indent="0" shrinkToFit="false"/>
      <protection locked="false" hidden="false"/>
    </xf>
    <xf numFmtId="164" fontId="26" fillId="0" borderId="29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6" fillId="0" borderId="30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29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31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32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33" xfId="0" applyFont="true" applyBorder="true" applyAlignment="true" applyProtection="false">
      <alignment horizontal="right" vertical="center" textRotation="0" wrapText="false" indent="1" shrinkToFit="false"/>
      <protection locked="true" hidden="false"/>
    </xf>
    <xf numFmtId="164" fontId="26" fillId="0" borderId="1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14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4" fontId="26" fillId="0" borderId="15" xfId="0" applyFont="true" applyBorder="true" applyAlignment="true" applyProtection="true">
      <alignment horizontal="center" vertical="center" textRotation="0" wrapText="true" indent="0" shrinkToFit="false"/>
      <protection locked="false" hidden="false"/>
    </xf>
    <xf numFmtId="167" fontId="26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0" xfId="0" applyFont="tru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26" fillId="0" borderId="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0" xfId="0" applyFont="true" applyBorder="fals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17" xfId="0" applyFont="true" applyBorder="true" applyAlignment="true" applyProtection="false">
      <alignment horizontal="right" vertical="center" textRotation="0" wrapText="false" indent="0" shrinkToFit="false"/>
      <protection locked="true" hidden="false"/>
    </xf>
    <xf numFmtId="164" fontId="26" fillId="0" borderId="34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5" fillId="1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1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26" fillId="0" borderId="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2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7" fontId="26" fillId="0" borderId="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5" fillId="2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6" fillId="2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18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25" fillId="2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20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3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0" borderId="36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6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5" fillId="0" borderId="1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26" fillId="0" borderId="3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3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2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2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6" fillId="0" borderId="19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2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30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7" fillId="0" borderId="2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3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3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3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21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5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7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6" fillId="0" borderId="28" xfId="0" applyFont="true" applyBorder="true" applyAlignment="true" applyProtection="true">
      <alignment horizontal="right" vertical="center" textRotation="0" wrapText="false" indent="1" shrinkToFit="false"/>
      <protection locked="false" hidden="false"/>
    </xf>
    <xf numFmtId="164" fontId="26" fillId="0" borderId="13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6" fillId="0" borderId="39" xfId="0" applyFont="true" applyBorder="true" applyAlignment="true" applyProtection="true">
      <alignment horizontal="center" vertical="bottom" textRotation="0" wrapText="false" indent="0" shrinkToFit="false"/>
      <protection locked="false" hidden="false"/>
    </xf>
    <xf numFmtId="164" fontId="27" fillId="0" borderId="1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1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1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1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30" fillId="0" borderId="1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15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2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3" fillId="0" borderId="1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7" fillId="0" borderId="4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2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4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6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1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27" fillId="0" borderId="17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30" fillId="0" borderId="2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27" fillId="0" borderId="42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7" fillId="0" borderId="43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7" fillId="0" borderId="44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26" fillId="0" borderId="0" xfId="0" applyFont="true" applyBorder="false" applyAlignment="false" applyProtection="true">
      <alignment horizontal="general" vertical="bottom" textRotation="0" wrapText="false" indent="0" shrinkToFit="false"/>
      <protection locked="false" hidden="false"/>
    </xf>
    <xf numFmtId="164" fontId="27" fillId="0" borderId="45" xfId="0" applyFont="true" applyBorder="true" applyAlignment="false" applyProtection="true">
      <alignment horizontal="general" vertical="bottom" textRotation="0" wrapText="false" indent="0" shrinkToFit="false"/>
      <protection locked="fals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4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2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4" fillId="22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left" vertical="center" textRotation="0" wrapText="false" indent="0" shrinkToFit="false"/>
      <protection locked="true" hidden="false"/>
    </xf>
    <xf numFmtId="164" fontId="0" fillId="23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4" fontId="0" fillId="2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22" borderId="0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22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center" textRotation="0" wrapText="false" indent="0" shrinkToFit="false"/>
      <protection locked="true" hidden="false"/>
    </xf>
    <xf numFmtId="164" fontId="0" fillId="1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*unknown*" xfId="20" builtinId="8"/>
  </cellStyles>
  <dxfs count="14">
    <dxf>
      <font>
        <b val="1"/>
        <i val="0"/>
      </font>
      <fill>
        <patternFill>
          <bgColor rgb="FF000000"/>
        </patternFill>
      </fill>
    </dxf>
    <dxf>
      <font>
        <color rgb="FF000000"/>
      </font>
      <fill>
        <patternFill>
          <bgColor rgb="FF000000"/>
        </patternFill>
      </fill>
      <border diagonalUp="false" diagonalDown="false">
        <left style="thin"/>
        <right style="thin"/>
        <top style="thin"/>
        <bottom style="thin"/>
        <diagonal/>
      </border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548235"/>
      <rgbColor rgb="FF800080"/>
      <rgbColor rgb="FF2F75B5"/>
      <rgbColor rgb="FFBFBFBF"/>
      <rgbColor rgb="FF757171"/>
      <rgbColor rgb="FFA9D08E"/>
      <rgbColor rgb="FF993366"/>
      <rgbColor rgb="FFFFFFCC"/>
      <rgbColor rgb="FFCCECFF"/>
      <rgbColor rgb="FF660066"/>
      <rgbColor rgb="FFFF8080"/>
      <rgbColor rgb="FF0563C1"/>
      <rgbColor rgb="FFBDD7EE"/>
      <rgbColor rgb="FF000080"/>
      <rgbColor rgb="FFFF00FF"/>
      <rgbColor rgb="FFC5E0B4"/>
      <rgbColor rgb="FF00FFFF"/>
      <rgbColor rgb="FF800080"/>
      <rgbColor rgb="FF800000"/>
      <rgbColor rgb="FF008080"/>
      <rgbColor rgb="FF0000FF"/>
      <rgbColor rgb="FF00CCFF"/>
      <rgbColor rgb="FFE7E6E6"/>
      <rgbColor rgb="FFC6EFCE"/>
      <rgbColor rgb="FFFFD966"/>
      <rgbColor rgb="FF9BC2E6"/>
      <rgbColor rgb="FFF4B084"/>
      <rgbColor rgb="FFD0CECE"/>
      <rgbColor rgb="FFFFC7CE"/>
      <rgbColor rgb="FF4472C4"/>
      <rgbColor rgb="FF33CCCC"/>
      <rgbColor rgb="FF92D050"/>
      <rgbColor rgb="FFA9D18E"/>
      <rgbColor rgb="FFBF8F00"/>
      <rgbColor rgb="FFC65911"/>
      <rgbColor rgb="FF666699"/>
      <rgbColor rgb="FFAEAAAA"/>
      <rgbColor rgb="FF003366"/>
      <rgbColor rgb="FF00B050"/>
      <rgbColor rgb="FF003300"/>
      <rgbColor rgb="FF333300"/>
      <rgbColor rgb="FF993300"/>
      <rgbColor rgb="FF993366"/>
      <rgbColor rgb="FF333399"/>
      <rgbColor rgb="FF444444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worksheet" Target="worksheets/sheet7.xml"/><Relationship Id="rId10" Type="http://schemas.openxmlformats.org/officeDocument/2006/relationships/sharedStrings" Target="sharedStrings.xml"/>
</Relationships>
</file>

<file path=xl/ctrlProps/ctrlProps2.xml><?xml version="1.0" encoding="utf-8"?>
<formControlPr xmlns="http://schemas.microsoft.com/office/spreadsheetml/2009/9/main" objectType="Button" lockText="1"/>
</file>

<file path=xl/ctrlProps/ctrlProps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>
  <xdr:twoCellAnchor editAs="twoCell">
    <xdr:from>
      <xdr:col>10</xdr:col>
      <xdr:colOff>828720</xdr:colOff>
      <xdr:row>25</xdr:row>
      <xdr:rowOff>0</xdr:rowOff>
    </xdr:from>
    <xdr:to>
      <xdr:col>11</xdr:col>
      <xdr:colOff>894960</xdr:colOff>
      <xdr:row>31</xdr:row>
      <xdr:rowOff>180720</xdr:rowOff>
    </xdr:to>
    <xdr:sp>
      <xdr:nvSpPr>
        <xdr:cNvPr id="0" name="Rectangle 4"/>
        <xdr:cNvSpPr/>
      </xdr:nvSpPr>
      <xdr:spPr>
        <a:xfrm>
          <a:off x="16921440" y="4762440"/>
          <a:ext cx="1590480" cy="1323720"/>
        </a:xfrm>
        <a:prstGeom prst="rect">
          <a:avLst/>
        </a:prstGeom>
        <a:solidFill>
          <a:srgbClr val="ff0000"/>
        </a:solidFill>
        <a:ln>
          <a:solidFill>
            <a:srgbClr val="bc8e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1" lang="en-GB" sz="1100" spc="-1" strike="noStrike">
              <a:solidFill>
                <a:srgbClr val="ffffff"/>
              </a:solidFill>
              <a:latin typeface="Calibri"/>
            </a:rPr>
            <a:t>Developer use only</a:t>
          </a:r>
          <a:r>
            <a:rPr b="0" lang="en-GB" sz="1100" spc="-1" strike="noStrike">
              <a:solidFill>
                <a:srgbClr val="ffffff"/>
              </a:solidFill>
              <a:latin typeface="Calibri"/>
            </a:rPr>
            <a:t>: Resets all fields</a:t>
          </a:r>
          <a:endParaRPr b="0" lang="en-GB" sz="1100" spc="-1" strike="noStrike">
            <a:latin typeface="Times New Roman"/>
          </a:endParaRPr>
        </a:p>
      </xdr:txBody>
    </xdr:sp>
    <xdr:clientData/>
  </xdr:twoCellAnchor>
  <xdr:twoCellAnchor editAs="twoCell">
    <xdr:from>
      <xdr:col>5</xdr:col>
      <xdr:colOff>247680</xdr:colOff>
      <xdr:row>25</xdr:row>
      <xdr:rowOff>28440</xdr:rowOff>
    </xdr:from>
    <xdr:to>
      <xdr:col>6</xdr:col>
      <xdr:colOff>1409400</xdr:colOff>
      <xdr:row>33</xdr:row>
      <xdr:rowOff>142560</xdr:rowOff>
    </xdr:to>
    <xdr:sp>
      <xdr:nvSpPr>
        <xdr:cNvPr id="1" name="Rectangle 1"/>
        <xdr:cNvSpPr/>
      </xdr:nvSpPr>
      <xdr:spPr>
        <a:xfrm>
          <a:off x="8745840" y="4790880"/>
          <a:ext cx="1707840" cy="1638360"/>
        </a:xfrm>
        <a:prstGeom prst="rect">
          <a:avLst/>
        </a:prstGeom>
        <a:solidFill>
          <a:srgbClr val="ffc000"/>
        </a:solidFill>
        <a:ln>
          <a:solidFill>
            <a:srgbClr val="bc8e00"/>
          </a:solidFill>
        </a:ln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/>
      </xdr:style>
      <xdr:txBody>
        <a:bodyPr horzOverflow="clip" vertOverflow="clip" lIns="90000" rIns="90000" tIns="45000" bIns="45000" anchor="t">
          <a:noAutofit/>
        </a:bodyPr>
        <a:p>
          <a:pPr>
            <a:lnSpc>
              <a:spcPct val="100000"/>
            </a:lnSpc>
          </a:pPr>
          <a:r>
            <a:rPr b="0" lang="en-GB" sz="1100" spc="-1" strike="noStrike">
              <a:solidFill>
                <a:srgbClr val="ffffff"/>
              </a:solidFill>
              <a:latin typeface="Calibri"/>
            </a:rPr>
            <a:t>Click below to start analysis on selected biopsy number:</a:t>
          </a:r>
          <a:endParaRPr b="0" lang="en-GB" sz="1100" spc="-1" strike="noStrike">
            <a:latin typeface="Times New Roman"/>
          </a:endParaRPr>
        </a:p>
      </xdr:txBody>
    </xdr:sp>
    <xdr:clientData/>
  </xdr:twoCellAnchor>
  <xdr:twoCellAnchor editAs="oneCell">
    <xdr:from>
      <xdr:col>5</xdr:col>
      <xdr:colOff>343080</xdr:colOff>
      <xdr:row>29</xdr:row>
      <xdr:rowOff>66600</xdr:rowOff>
    </xdr:from>
    <xdr:to>
      <xdr:col>6</xdr:col>
      <xdr:colOff>1158840</xdr:colOff>
      <xdr:row>30</xdr:row>
      <xdr:rowOff>129240</xdr:rowOff>
    </xdr:to>
    <xdr:sp>
      <xdr:nvSpPr>
        <xdr:cNvPr id="2" name="TextBox 2"/>
        <xdr:cNvSpPr/>
      </xdr:nvSpPr>
      <xdr:spPr>
        <a:xfrm>
          <a:off x="8841240" y="5591160"/>
          <a:ext cx="1361880" cy="253080"/>
        </a:xfrm>
        <a:prstGeom prst="rect">
          <a:avLst/>
        </a:prstGeom>
        <a:noFill/>
        <a:ln w="0">
          <a:noFill/>
        </a:ln>
      </xdr:spPr>
      <xdr:style>
        <a:lnRef idx="0"/>
        <a:fillRef idx="0"/>
        <a:effectRef idx="0"/>
        <a:fontRef idx="minor"/>
      </xdr:style>
      <xdr:txBody>
        <a:bodyPr horzOverflow="clip" vertOverflow="clip" lIns="90000" rIns="90000" tIns="45000" bIns="45000" anchor="t">
          <a:spAutoFit/>
        </a:bodyPr>
        <a:p>
          <a:pPr algn="ctr">
            <a:lnSpc>
              <a:spcPct val="100000"/>
            </a:lnSpc>
          </a:pPr>
          <a:r>
            <a:rPr b="1" lang="en-US" sz="1100" spc="-1" strike="noStrike">
              <a:solidFill>
                <a:srgbClr val="000000"/>
              </a:solidFill>
              <a:latin typeface="Calibri"/>
            </a:rPr>
            <a:t> </a:t>
          </a:r>
          <a:endParaRPr b="0" lang="en-GB" sz="1100" spc="-1" strike="noStrike">
            <a:latin typeface="Times New Roman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1" name="Button 29" descr="Reset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Reset</a:t>
              </a:r>
            </a:p>
          </xdr:txBody>
        </xdr:sp>
        <xdr:clientData/>
      </xdr:twoCellAnchor>
    </mc:Choice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0</xdr:col>
          <xdr:colOff>0</xdr:colOff>
          <xdr:row>0</xdr:row>
          <xdr:rowOff>0</xdr:rowOff>
        </xdr:to>
        <xdr:sp>
          <xdr:nvSpPr>
            <xdr:cNvPr id="1002" name="Button 30" descr="Process" hidden="0"/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anchor="ctr">
              <a:noAutofit/>
            </a:bodyPr>
            <a:p>
              <a:r>
                <a:t>Process</a:t>
              </a:r>
            </a:p>
          </xdr:txBody>
        </xdr:sp>
        <xdr:clientData/>
      </xdr:twoCellAnchor>
    </mc:Choice>
  </mc:AlternateContent>
</xdr:wsDr>
</file>

<file path=xl/worksheets/_rels/sheet1.xml.rels><?xml version="1.0" encoding="UTF-8"?>
<Relationships xmlns="http://schemas.openxmlformats.org/package/2006/relationships"><Relationship Id="rId1" Type="http://schemas.openxmlformats.org/officeDocument/2006/relationships/comments" Target="../comments1.xml"/><Relationship Id="rId2" Type="http://schemas.openxmlformats.org/officeDocument/2006/relationships/drawing" Target="../drawings/drawing1.xml"/><Relationship Id="rId3" Type="http://schemas.openxmlformats.org/officeDocument/2006/relationships/vmlDrawing" Target="../drawings/vmlDrawing1.vml"/><Relationship Id="rId4" Type="http://schemas.openxmlformats.org/officeDocument/2006/relationships/ctrlProp" Target="../ctrlProps/ctrlProps2.xml"/><Relationship Id="rId5" Type="http://schemas.openxmlformats.org/officeDocument/2006/relationships/ctrlProp" Target="../ctrlProps/ctrlProps3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hyperlink" Target="../../../../Current/PGD/pgd%20results/SNP%20array/Genotyping%20data%20from%20MSV%20&amp;%20ChAS%20detail%20view%20exports" TargetMode="Externa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U40"/>
  <sheetViews>
    <sheetView showFormulas="false" showGridLines="true" showRowColHeaders="true" showZeros="true" rightToLeft="false" tabSelected="true" showOutlineSymbols="true" defaultGridColor="true" view="normal" topLeftCell="A4" colorId="64" zoomScale="100" zoomScaleNormal="100" zoomScalePageLayoutView="100" workbookViewId="0">
      <selection pane="topLeft" activeCell="B38" activeCellId="0" sqref="B38"/>
    </sheetView>
  </sheetViews>
  <sheetFormatPr defaultColWidth="9.14453125" defaultRowHeight="15" zeroHeight="false" outlineLevelRow="0" outlineLevelCol="0"/>
  <cols>
    <col collapsed="false" customWidth="true" hidden="false" outlineLevel="0" max="1" min="1" style="1" width="30.86"/>
    <col collapsed="false" customWidth="true" hidden="false" outlineLevel="0" max="3" min="2" style="1" width="23.57"/>
    <col collapsed="false" customWidth="false" hidden="false" outlineLevel="0" max="4" min="4" style="1" width="9.14"/>
    <col collapsed="false" customWidth="true" hidden="false" outlineLevel="0" max="5" min="5" style="1" width="8.43"/>
    <col collapsed="false" customWidth="true" hidden="false" outlineLevel="0" max="6" min="6" style="1" width="6.14"/>
    <col collapsed="false" customWidth="true" hidden="false" outlineLevel="0" max="7" min="7" style="1" width="27.85"/>
    <col collapsed="false" customWidth="true" hidden="false" outlineLevel="0" max="12" min="8" style="1" width="17.14"/>
    <col collapsed="false" customWidth="true" hidden="false" outlineLevel="0" max="13" min="13" style="1" width="21"/>
    <col collapsed="false" customWidth="true" hidden="false" outlineLevel="0" max="14" min="14" style="1" width="6.57"/>
    <col collapsed="false" customWidth="true" hidden="false" outlineLevel="0" max="15" min="15" style="1" width="7.71"/>
    <col collapsed="false" customWidth="true" hidden="false" outlineLevel="0" max="16" min="16" style="1" width="6.28"/>
    <col collapsed="false" customWidth="true" hidden="false" outlineLevel="0" max="17" min="17" style="1" width="11.28"/>
    <col collapsed="false" customWidth="true" hidden="false" outlineLevel="0" max="19" min="18" style="1" width="17.14"/>
    <col collapsed="false" customWidth="true" hidden="false" outlineLevel="0" max="20" min="20" style="1" width="48.43"/>
    <col collapsed="false" customWidth="true" hidden="false" outlineLevel="0" max="21" min="21" style="1" width="6.28"/>
    <col collapsed="false" customWidth="false" hidden="false" outlineLevel="0" max="1024" min="22" style="1" width="9.14"/>
  </cols>
  <sheetData>
    <row r="1" customFormat="false" ht="15" hidden="false" customHeight="false" outlineLevel="0" collapsed="false">
      <c r="A1" s="2" t="s">
        <v>0</v>
      </c>
      <c r="B1" s="2"/>
      <c r="C1" s="2"/>
      <c r="D1" s="2"/>
      <c r="F1" s="3" t="s">
        <v>1</v>
      </c>
      <c r="G1" s="3"/>
      <c r="H1" s="3"/>
      <c r="I1" s="3"/>
      <c r="J1" s="3"/>
      <c r="K1" s="3"/>
      <c r="L1" s="3"/>
      <c r="M1" s="3"/>
      <c r="N1" s="3"/>
      <c r="P1" s="4" t="s">
        <v>2</v>
      </c>
      <c r="Q1" s="4"/>
      <c r="R1" s="4"/>
      <c r="S1" s="4"/>
      <c r="T1" s="4"/>
      <c r="U1" s="4"/>
    </row>
    <row r="2" customFormat="false" ht="15" hidden="false" customHeight="false" outlineLevel="0" collapsed="false">
      <c r="A2" s="5"/>
      <c r="B2" s="5"/>
      <c r="C2" s="5"/>
      <c r="D2" s="5"/>
      <c r="F2" s="6"/>
      <c r="G2" s="6"/>
      <c r="H2" s="7"/>
      <c r="I2" s="6"/>
      <c r="J2" s="6"/>
      <c r="K2" s="6"/>
      <c r="L2" s="6"/>
      <c r="M2" s="6"/>
      <c r="N2" s="6"/>
      <c r="P2" s="8"/>
      <c r="Q2" s="9"/>
      <c r="R2" s="10"/>
      <c r="S2" s="10"/>
      <c r="T2" s="10"/>
      <c r="U2" s="10"/>
    </row>
    <row r="3" customFormat="false" ht="15" hidden="false" customHeight="false" outlineLevel="0" collapsed="false">
      <c r="A3" s="11" t="s">
        <v>3</v>
      </c>
      <c r="B3" s="12"/>
      <c r="C3" s="13"/>
      <c r="D3" s="13"/>
      <c r="F3" s="6"/>
      <c r="G3" s="7" t="s">
        <v>4</v>
      </c>
      <c r="H3" s="7" t="s">
        <v>5</v>
      </c>
      <c r="I3" s="7" t="s">
        <v>6</v>
      </c>
      <c r="J3" s="7" t="s">
        <v>7</v>
      </c>
      <c r="K3" s="7" t="s">
        <v>8</v>
      </c>
      <c r="L3" s="7" t="s">
        <v>9</v>
      </c>
      <c r="M3" s="7" t="s">
        <v>10</v>
      </c>
      <c r="N3" s="7"/>
      <c r="P3" s="10"/>
      <c r="Q3" s="9" t="s">
        <v>11</v>
      </c>
      <c r="R3" s="9" t="s">
        <v>12</v>
      </c>
      <c r="S3" s="9" t="s">
        <v>13</v>
      </c>
      <c r="T3" s="9" t="s">
        <v>10</v>
      </c>
      <c r="U3" s="10"/>
    </row>
    <row r="4" customFormat="false" ht="15" hidden="false" customHeight="false" outlineLevel="0" collapsed="false">
      <c r="A4" s="14"/>
      <c r="B4" s="15"/>
      <c r="C4" s="13"/>
      <c r="D4" s="13"/>
      <c r="F4" s="6"/>
      <c r="G4" s="16"/>
      <c r="H4" s="16"/>
      <c r="I4" s="17"/>
      <c r="J4" s="17"/>
      <c r="K4" s="18"/>
      <c r="L4" s="17"/>
      <c r="M4" s="19"/>
      <c r="N4" s="6"/>
      <c r="P4" s="9"/>
      <c r="Q4" s="20"/>
      <c r="R4" s="20"/>
      <c r="S4" s="20"/>
      <c r="T4" s="21"/>
      <c r="U4" s="10"/>
    </row>
    <row r="5" customFormat="false" ht="15" hidden="false" customHeight="false" outlineLevel="0" collapsed="false">
      <c r="A5" s="14" t="s">
        <v>14</v>
      </c>
      <c r="B5" s="16"/>
      <c r="C5" s="13"/>
      <c r="D5" s="13"/>
      <c r="F5" s="6"/>
      <c r="G5" s="6"/>
      <c r="H5" s="7"/>
      <c r="I5" s="6"/>
      <c r="J5" s="6"/>
      <c r="K5" s="6"/>
      <c r="L5" s="6"/>
      <c r="M5" s="22"/>
      <c r="N5" s="6"/>
      <c r="P5" s="9"/>
      <c r="Q5" s="20"/>
      <c r="R5" s="20"/>
      <c r="S5" s="20"/>
      <c r="T5" s="21"/>
      <c r="U5" s="10"/>
    </row>
    <row r="6" customFormat="false" ht="15" hidden="false" customHeight="false" outlineLevel="0" collapsed="false">
      <c r="A6" s="14"/>
      <c r="B6" s="13"/>
      <c r="C6" s="13"/>
      <c r="D6" s="13"/>
      <c r="F6" s="6"/>
      <c r="G6" s="16"/>
      <c r="H6" s="16"/>
      <c r="I6" s="17"/>
      <c r="J6" s="17"/>
      <c r="K6" s="18"/>
      <c r="L6" s="17"/>
      <c r="M6" s="19"/>
      <c r="N6" s="6"/>
      <c r="P6" s="9"/>
      <c r="Q6" s="20"/>
      <c r="R6" s="20"/>
      <c r="S6" s="20"/>
      <c r="T6" s="21"/>
      <c r="U6" s="10"/>
    </row>
    <row r="7" customFormat="false" ht="15" hidden="false" customHeight="false" outlineLevel="0" collapsed="false">
      <c r="A7" s="14" t="s">
        <v>15</v>
      </c>
      <c r="B7" s="16"/>
      <c r="C7" s="13"/>
      <c r="D7" s="13"/>
      <c r="F7" s="6"/>
      <c r="G7" s="6"/>
      <c r="H7" s="7"/>
      <c r="I7" s="6"/>
      <c r="J7" s="6"/>
      <c r="K7" s="6"/>
      <c r="L7" s="6"/>
      <c r="M7" s="22"/>
      <c r="N7" s="6"/>
      <c r="P7" s="9"/>
      <c r="Q7" s="20"/>
      <c r="R7" s="20"/>
      <c r="S7" s="20"/>
      <c r="T7" s="21"/>
      <c r="U7" s="10"/>
    </row>
    <row r="8" customFormat="false" ht="15" hidden="false" customHeight="false" outlineLevel="0" collapsed="false">
      <c r="A8" s="13"/>
      <c r="B8" s="13"/>
      <c r="C8" s="13"/>
      <c r="D8" s="13"/>
      <c r="F8" s="6"/>
      <c r="G8" s="23" t="s">
        <v>16</v>
      </c>
      <c r="H8" s="16"/>
      <c r="I8" s="16"/>
      <c r="J8" s="16"/>
      <c r="K8" s="24"/>
      <c r="L8" s="16"/>
      <c r="M8" s="19"/>
      <c r="N8" s="6"/>
      <c r="P8" s="9"/>
      <c r="Q8" s="20"/>
      <c r="R8" s="20"/>
      <c r="S8" s="20"/>
      <c r="T8" s="21"/>
      <c r="U8" s="10"/>
    </row>
    <row r="9" customFormat="false" ht="15" hidden="false" customHeight="false" outlineLevel="0" collapsed="false">
      <c r="A9" s="14" t="s">
        <v>17</v>
      </c>
      <c r="B9" s="16"/>
      <c r="C9" s="13"/>
      <c r="D9" s="13"/>
      <c r="F9" s="6"/>
      <c r="G9" s="7"/>
      <c r="H9" s="6"/>
      <c r="I9" s="6"/>
      <c r="J9" s="6"/>
      <c r="K9" s="6"/>
      <c r="L9" s="6"/>
      <c r="M9" s="22"/>
      <c r="N9" s="6"/>
      <c r="P9" s="9"/>
      <c r="Q9" s="20"/>
      <c r="R9" s="20"/>
      <c r="S9" s="20"/>
      <c r="T9" s="21"/>
      <c r="U9" s="10"/>
    </row>
    <row r="10" customFormat="false" ht="15" hidden="false" customHeight="false" outlineLevel="0" collapsed="false">
      <c r="A10" s="13"/>
      <c r="B10" s="13" t="s">
        <v>18</v>
      </c>
      <c r="C10" s="13"/>
      <c r="D10" s="13"/>
      <c r="F10" s="6"/>
      <c r="G10" s="7" t="s">
        <v>19</v>
      </c>
      <c r="H10" s="6"/>
      <c r="I10" s="6"/>
      <c r="J10" s="6"/>
      <c r="K10" s="6"/>
      <c r="L10" s="6"/>
      <c r="M10" s="6"/>
      <c r="N10" s="6"/>
      <c r="P10" s="9"/>
      <c r="Q10" s="20"/>
      <c r="R10" s="20"/>
      <c r="S10" s="20"/>
      <c r="T10" s="21"/>
      <c r="U10" s="10"/>
    </row>
    <row r="11" customFormat="false" ht="15" hidden="false" customHeight="false" outlineLevel="0" collapsed="false">
      <c r="F11" s="6"/>
      <c r="G11" s="23" t="s">
        <v>20</v>
      </c>
      <c r="H11" s="16"/>
      <c r="I11" s="6"/>
      <c r="J11" s="6"/>
      <c r="K11" s="6"/>
      <c r="L11" s="6"/>
      <c r="M11" s="6"/>
      <c r="N11" s="6"/>
      <c r="P11" s="9"/>
      <c r="Q11" s="20"/>
      <c r="R11" s="20"/>
      <c r="S11" s="20"/>
      <c r="T11" s="21"/>
      <c r="U11" s="10"/>
    </row>
    <row r="12" customFormat="false" ht="15" hidden="false" customHeight="false" outlineLevel="0" collapsed="false">
      <c r="A12" s="25" t="s">
        <v>21</v>
      </c>
      <c r="B12" s="25"/>
      <c r="C12" s="25"/>
      <c r="D12" s="25"/>
      <c r="F12" s="6"/>
      <c r="G12" s="23" t="s">
        <v>22</v>
      </c>
      <c r="H12" s="26"/>
      <c r="I12" s="6"/>
      <c r="J12" s="6"/>
      <c r="K12" s="6"/>
      <c r="L12" s="6"/>
      <c r="M12" s="6"/>
      <c r="N12" s="6"/>
      <c r="P12" s="9"/>
      <c r="Q12" s="20"/>
      <c r="R12" s="20"/>
      <c r="S12" s="20"/>
      <c r="T12" s="21"/>
      <c r="U12" s="10"/>
    </row>
    <row r="13" customFormat="false" ht="15" hidden="false" customHeight="false" outlineLevel="0" collapsed="false">
      <c r="A13" s="27"/>
      <c r="B13" s="27"/>
      <c r="C13" s="27"/>
      <c r="D13" s="27"/>
      <c r="F13" s="6"/>
      <c r="G13" s="23" t="s">
        <v>23</v>
      </c>
      <c r="H13" s="16"/>
      <c r="I13" s="6"/>
      <c r="J13" s="6"/>
      <c r="K13" s="6"/>
      <c r="L13" s="6"/>
      <c r="M13" s="6"/>
      <c r="N13" s="6"/>
      <c r="P13" s="9"/>
      <c r="Q13" s="20"/>
      <c r="R13" s="20"/>
      <c r="S13" s="20"/>
      <c r="T13" s="21"/>
      <c r="U13" s="10"/>
    </row>
    <row r="14" customFormat="false" ht="15" hidden="false" customHeight="false" outlineLevel="0" collapsed="false">
      <c r="A14" s="28" t="s">
        <v>24</v>
      </c>
      <c r="B14" s="16"/>
      <c r="C14" s="29"/>
      <c r="D14" s="30"/>
      <c r="F14" s="6"/>
      <c r="G14" s="6"/>
      <c r="H14" s="6"/>
      <c r="I14" s="6"/>
      <c r="J14" s="6"/>
      <c r="K14" s="6"/>
      <c r="L14" s="6"/>
      <c r="M14" s="6"/>
      <c r="N14" s="6"/>
      <c r="P14" s="9"/>
      <c r="Q14" s="20"/>
      <c r="R14" s="20"/>
      <c r="S14" s="20"/>
      <c r="T14" s="21"/>
      <c r="U14" s="10"/>
    </row>
    <row r="15" customFormat="false" ht="15" hidden="false" customHeight="false" outlineLevel="0" collapsed="false">
      <c r="A15" s="28" t="s">
        <v>25</v>
      </c>
      <c r="B15" s="26"/>
      <c r="C15" s="30"/>
      <c r="D15" s="30"/>
      <c r="F15" s="6"/>
      <c r="G15" s="31" t="s">
        <v>26</v>
      </c>
      <c r="H15" s="16"/>
      <c r="I15" s="6"/>
      <c r="J15" s="6"/>
      <c r="K15" s="6"/>
      <c r="L15" s="6"/>
      <c r="M15" s="6"/>
      <c r="N15" s="6"/>
      <c r="P15" s="9"/>
      <c r="Q15" s="20"/>
      <c r="R15" s="20"/>
      <c r="S15" s="20"/>
      <c r="T15" s="21"/>
      <c r="U15" s="10"/>
    </row>
    <row r="16" customFormat="false" ht="15" hidden="false" customHeight="false" outlineLevel="0" collapsed="false">
      <c r="A16" s="28" t="s">
        <v>27</v>
      </c>
      <c r="B16" s="32"/>
      <c r="C16" s="30"/>
      <c r="D16" s="30"/>
      <c r="F16" s="6"/>
      <c r="G16" s="6"/>
      <c r="H16" s="6"/>
      <c r="I16" s="6"/>
      <c r="J16" s="6"/>
      <c r="K16" s="6"/>
      <c r="L16" s="6"/>
      <c r="M16" s="6"/>
      <c r="N16" s="6"/>
      <c r="P16" s="9"/>
      <c r="Q16" s="20"/>
      <c r="R16" s="20"/>
      <c r="S16" s="20"/>
      <c r="T16" s="21"/>
      <c r="U16" s="10"/>
    </row>
    <row r="17" customFormat="false" ht="15" hidden="false" customHeight="false" outlineLevel="0" collapsed="false">
      <c r="A17" s="30"/>
      <c r="B17" s="30"/>
      <c r="C17" s="30"/>
      <c r="D17" s="30"/>
      <c r="F17" s="6"/>
      <c r="G17" s="31" t="s">
        <v>28</v>
      </c>
      <c r="H17" s="16"/>
      <c r="I17" s="6"/>
      <c r="J17" s="6"/>
      <c r="K17" s="6"/>
      <c r="L17" s="6" t="str">
        <f aca="false">IF(B3 ="Autosomal_Dominant", "Exclusion?", "")</f>
        <v/>
      </c>
      <c r="M17" s="6"/>
      <c r="N17" s="6"/>
      <c r="P17" s="9"/>
      <c r="Q17" s="20"/>
      <c r="R17" s="20"/>
      <c r="S17" s="20"/>
      <c r="T17" s="21"/>
      <c r="U17" s="10"/>
    </row>
    <row r="18" customFormat="false" ht="15" hidden="false" customHeight="false" outlineLevel="0" collapsed="false">
      <c r="A18" s="28" t="s">
        <v>29</v>
      </c>
      <c r="B18" s="33"/>
      <c r="C18" s="30"/>
      <c r="D18" s="30"/>
      <c r="F18" s="6"/>
      <c r="G18" s="6"/>
      <c r="H18" s="6"/>
      <c r="I18" s="6"/>
      <c r="J18" s="6"/>
      <c r="K18" s="6"/>
      <c r="L18" s="6"/>
      <c r="M18" s="6"/>
      <c r="N18" s="6"/>
      <c r="P18" s="9"/>
      <c r="Q18" s="20"/>
      <c r="R18" s="20"/>
      <c r="S18" s="20"/>
      <c r="T18" s="21"/>
      <c r="U18" s="10"/>
    </row>
    <row r="19" customFormat="false" ht="15" hidden="false" customHeight="false" outlineLevel="0" collapsed="false">
      <c r="A19" s="28"/>
      <c r="B19" s="30"/>
      <c r="C19" s="30"/>
      <c r="D19" s="30"/>
      <c r="P19" s="9"/>
      <c r="Q19" s="20"/>
      <c r="R19" s="20"/>
      <c r="S19" s="20"/>
      <c r="T19" s="21"/>
      <c r="U19" s="10"/>
    </row>
    <row r="20" customFormat="false" ht="15" hidden="false" customHeight="false" outlineLevel="0" collapsed="false">
      <c r="A20" s="28" t="s">
        <v>30</v>
      </c>
      <c r="B20" s="34"/>
      <c r="C20" s="30"/>
      <c r="D20" s="30"/>
      <c r="E20" s="30"/>
      <c r="F20" s="30"/>
      <c r="G20" s="30"/>
      <c r="H20" s="30"/>
      <c r="I20" s="30"/>
      <c r="J20" s="30"/>
      <c r="K20" s="30"/>
      <c r="L20" s="30"/>
      <c r="M20" s="30"/>
      <c r="N20" s="30"/>
      <c r="O20" s="30"/>
      <c r="P20" s="9"/>
      <c r="Q20" s="20"/>
      <c r="R20" s="20"/>
      <c r="S20" s="20"/>
      <c r="T20" s="21"/>
      <c r="U20" s="10"/>
    </row>
    <row r="21" customFormat="false" ht="15" hidden="false" customHeight="false" outlineLevel="0" collapsed="false">
      <c r="A21" s="28" t="s">
        <v>31</v>
      </c>
      <c r="B21" s="34"/>
      <c r="C21" s="30"/>
      <c r="D21" s="30"/>
      <c r="E21" s="28"/>
      <c r="F21" s="35" t="s">
        <v>32</v>
      </c>
      <c r="G21" s="35"/>
      <c r="H21" s="35"/>
      <c r="I21" s="35"/>
      <c r="J21" s="35"/>
      <c r="K21" s="35"/>
      <c r="L21" s="35"/>
      <c r="M21" s="28" t="s">
        <v>33</v>
      </c>
      <c r="N21" s="28"/>
      <c r="O21" s="30"/>
      <c r="P21" s="9"/>
      <c r="Q21" s="20"/>
      <c r="R21" s="20"/>
      <c r="S21" s="20"/>
      <c r="T21" s="21"/>
      <c r="U21" s="10"/>
    </row>
    <row r="22" customFormat="false" ht="15" hidden="false" customHeight="false" outlineLevel="0" collapsed="false">
      <c r="A22" s="28" t="s">
        <v>34</v>
      </c>
      <c r="B22" s="34"/>
      <c r="C22" s="29"/>
      <c r="D22" s="30"/>
      <c r="E22" s="28" t="s">
        <v>35</v>
      </c>
      <c r="F22" s="34"/>
      <c r="G22" s="34"/>
      <c r="H22" s="34"/>
      <c r="I22" s="34"/>
      <c r="J22" s="34"/>
      <c r="K22" s="34"/>
      <c r="L22" s="34"/>
      <c r="M22" s="34"/>
      <c r="N22" s="34"/>
      <c r="O22" s="30"/>
      <c r="P22" s="9"/>
      <c r="Q22" s="20"/>
      <c r="R22" s="20"/>
      <c r="S22" s="20"/>
      <c r="T22" s="21"/>
      <c r="U22" s="10"/>
    </row>
    <row r="23" customFormat="false" ht="15" hidden="false" customHeight="false" outlineLevel="0" collapsed="false">
      <c r="A23" s="28"/>
      <c r="B23" s="30"/>
      <c r="C23" s="30"/>
      <c r="D23" s="30"/>
      <c r="E23" s="30"/>
      <c r="F23" s="30"/>
      <c r="G23" s="30"/>
      <c r="H23" s="30"/>
      <c r="I23" s="30"/>
      <c r="J23" s="30"/>
      <c r="K23" s="30"/>
      <c r="L23" s="30"/>
      <c r="M23" s="30"/>
      <c r="N23" s="30"/>
      <c r="O23" s="30"/>
      <c r="P23" s="9"/>
      <c r="Q23" s="20"/>
      <c r="R23" s="20"/>
      <c r="S23" s="20"/>
      <c r="T23" s="21"/>
      <c r="U23" s="10"/>
    </row>
    <row r="24" customFormat="false" ht="15" hidden="false" customHeight="false" outlineLevel="0" collapsed="false">
      <c r="P24" s="9"/>
      <c r="Q24" s="20"/>
      <c r="R24" s="20"/>
      <c r="S24" s="20"/>
      <c r="T24" s="21"/>
      <c r="U24" s="10"/>
    </row>
    <row r="25" customFormat="false" ht="15" hidden="false" customHeight="false" outlineLevel="0" collapsed="false">
      <c r="A25" s="36" t="s">
        <v>36</v>
      </c>
      <c r="B25" s="36"/>
      <c r="C25" s="36"/>
      <c r="D25" s="36"/>
      <c r="P25" s="9"/>
      <c r="Q25" s="20"/>
      <c r="R25" s="20"/>
      <c r="S25" s="20"/>
      <c r="T25" s="21"/>
      <c r="U25" s="10"/>
    </row>
    <row r="26" customFormat="false" ht="15" hidden="false" customHeight="false" outlineLevel="0" collapsed="false">
      <c r="A26" s="37"/>
      <c r="B26" s="38"/>
      <c r="C26" s="37" t="s">
        <v>37</v>
      </c>
      <c r="D26" s="38"/>
      <c r="P26" s="9"/>
      <c r="Q26" s="20"/>
      <c r="R26" s="20"/>
      <c r="S26" s="20"/>
      <c r="T26" s="21"/>
      <c r="U26" s="10"/>
    </row>
    <row r="27" customFormat="false" ht="15" hidden="false" customHeight="false" outlineLevel="0" collapsed="false">
      <c r="A27" s="39" t="s">
        <v>38</v>
      </c>
      <c r="B27" s="40"/>
      <c r="C27" s="41"/>
      <c r="D27" s="42"/>
      <c r="P27" s="9"/>
      <c r="Q27" s="20"/>
      <c r="R27" s="20"/>
      <c r="S27" s="20"/>
      <c r="T27" s="21"/>
      <c r="U27" s="10"/>
    </row>
    <row r="28" customFormat="false" ht="15" hidden="false" customHeight="false" outlineLevel="0" collapsed="false">
      <c r="A28" s="42"/>
      <c r="B28" s="42"/>
      <c r="C28" s="42"/>
      <c r="D28" s="42"/>
      <c r="P28" s="9"/>
      <c r="Q28" s="20"/>
      <c r="R28" s="20"/>
      <c r="S28" s="20"/>
      <c r="T28" s="21"/>
      <c r="U28" s="10"/>
    </row>
    <row r="29" customFormat="false" ht="15" hidden="false" customHeight="false" outlineLevel="0" collapsed="false">
      <c r="A29" s="37" t="s">
        <v>39</v>
      </c>
      <c r="B29" s="33"/>
      <c r="C29" s="38"/>
      <c r="D29" s="38"/>
      <c r="P29" s="10"/>
      <c r="Q29" s="10"/>
      <c r="R29" s="10"/>
      <c r="S29" s="10"/>
      <c r="T29" s="10"/>
      <c r="U29" s="10"/>
    </row>
    <row r="30" customFormat="false" ht="15" hidden="false" customHeight="false" outlineLevel="0" collapsed="false">
      <c r="A30" s="38"/>
      <c r="B30" s="38"/>
      <c r="C30" s="38"/>
      <c r="D30" s="38"/>
    </row>
    <row r="31" customFormat="false" ht="15" hidden="false" customHeight="false" outlineLevel="0" collapsed="false">
      <c r="A31" s="37" t="s">
        <v>40</v>
      </c>
      <c r="B31" s="43" t="e">
        <f aca="false">SUBSTITUTE(UPPER(LEFT(B29,(FIND(":",B29, 1)-1))), "CHR", "")</f>
        <v>#VALUE!</v>
      </c>
      <c r="C31" s="38"/>
      <c r="D31" s="38"/>
    </row>
    <row r="32" customFormat="false" ht="15" hidden="false" customHeight="false" outlineLevel="0" collapsed="false">
      <c r="A32" s="38"/>
      <c r="B32" s="44" t="s">
        <v>41</v>
      </c>
      <c r="C32" s="44" t="s">
        <v>42</v>
      </c>
      <c r="D32" s="38"/>
    </row>
    <row r="33" customFormat="false" ht="15" hidden="false" customHeight="false" outlineLevel="0" collapsed="false">
      <c r="A33" s="37" t="s">
        <v>43</v>
      </c>
      <c r="B33" s="45" t="e">
        <f aca="false">SUBSTITUTE(SUBSTITUTE(SUBSTITUTE(SUBSTITUTE(SUBSTITUTE(SUBSTITUTE(SUBSTITUTE(SUBSTITUTE(SUBSTITUTE(SUBSTITUTE(SUBSTITUTE(SUBSTITUTE(SUBSTITUTE(SUBSTITUTE(SUBSTITUTE(SUBSTITUTE(SUBSTITUTE(SUBSTITUTE(SUBSTITUTE(SUBSTITUTE(SUBSTITUTE(SUBSTITUTE(SUBSTITUTE(SUBSTITUTE(SUBSTITUTE(LEFT(B29, FIND("-", B29)-1), ",", ""), "chrY:", ""), "chrX:", ""), "chr22:", ""), "chr21:", ""), "chr20:", ""), "chr19:", ""), "chr18:", ""), "chr17:", ""), "chr16:", ""), "chr15:", ""), "chr14:", ""), "chr13:", ""), "chr12:", ""), "chr11:", ""), "chr10:", ""), "chr9:", ""), "chr8:", ""), "chr7:", ""), "chr6:", ""), "chr5:", ""), "chr4:", ""), "chr3:", ""), "chr2:", ""), "chr1:", "")</f>
        <v>#VALUE!</v>
      </c>
      <c r="C33" s="43" t="e">
        <f aca="false">SUBSTITUTE(RIGHT(B29, (LEN(B29) - FIND("-",B29,1))), ",","")</f>
        <v>#VALUE!</v>
      </c>
      <c r="D33" s="38"/>
    </row>
    <row r="34" customFormat="false" ht="15" hidden="false" customHeight="false" outlineLevel="0" collapsed="false">
      <c r="A34" s="38"/>
      <c r="B34" s="38"/>
      <c r="C34" s="38"/>
      <c r="D34" s="38"/>
    </row>
    <row r="35" customFormat="false" ht="15" hidden="false" customHeight="false" outlineLevel="0" collapsed="false">
      <c r="A35" s="39" t="s">
        <v>44</v>
      </c>
      <c r="B35" s="19" t="n">
        <v>2</v>
      </c>
      <c r="C35" s="39" t="s">
        <v>45</v>
      </c>
      <c r="D35" s="42"/>
    </row>
    <row r="36" customFormat="false" ht="15" hidden="false" customHeight="false" outlineLevel="0" collapsed="false">
      <c r="A36" s="42" t="s">
        <v>46</v>
      </c>
      <c r="B36" s="42"/>
      <c r="C36" s="42"/>
      <c r="D36" s="42"/>
    </row>
    <row r="38" customFormat="false" ht="15" hidden="false" customHeight="false" outlineLevel="0" collapsed="false">
      <c r="A38" s="31" t="s">
        <v>47</v>
      </c>
      <c r="B38" s="46" t="s">
        <v>48</v>
      </c>
    </row>
    <row r="39" customFormat="false" ht="15" hidden="false" customHeight="false" outlineLevel="0" collapsed="false">
      <c r="H39" s="47"/>
    </row>
    <row r="40" customFormat="false" ht="15" hidden="false" customHeight="false" outlineLevel="0" collapsed="false">
      <c r="H40" s="47"/>
    </row>
  </sheetData>
  <mergeCells count="7">
    <mergeCell ref="A1:D1"/>
    <mergeCell ref="F1:N1"/>
    <mergeCell ref="P1:U1"/>
    <mergeCell ref="A12:D12"/>
    <mergeCell ref="F22:L22"/>
    <mergeCell ref="M22:N22"/>
    <mergeCell ref="A25:D25"/>
  </mergeCells>
  <conditionalFormatting sqref="L17">
    <cfRule type="cellIs" priority="2" operator="equal" aboveAverage="0" equalAverage="0" bottom="0" percent="0" rank="0" text="" dxfId="0">
      <formula>"Exclusion?"</formula>
    </cfRule>
  </conditionalFormatting>
  <conditionalFormatting sqref="M17">
    <cfRule type="expression" priority="3" aboveAverage="0" equalAverage="0" bottom="0" percent="0" rank="0" text="" dxfId="1">
      <formula>$L$17="Exclusion?"</formula>
    </cfRule>
  </conditionalFormatting>
  <dataValidations count="12">
    <dataValidation allowBlank="true" errorStyle="stop" operator="between" showDropDown="false" showErrorMessage="true" showInputMessage="true" sqref="B3" type="list">
      <formula1>"X-Linked,Autosomal_Dominant,Autosomal_Recessive"</formula1>
      <formula2>0</formula2>
    </dataValidation>
    <dataValidation allowBlank="true" errorStyle="stop" operator="between" showDropDown="false" showErrorMessage="true" showInputMessage="true" sqref="B35" type="whole">
      <formula1>2</formula1>
      <formula2>10</formula2>
    </dataValidation>
    <dataValidation allowBlank="true" errorStyle="stop" operator="between" showDropDown="false" showErrorMessage="true" showInputMessage="true" sqref="G4" type="list">
      <formula1>"carrier_female_partner"</formula1>
      <formula2>0</formula2>
    </dataValidation>
    <dataValidation allowBlank="true" errorStyle="stop" operator="between" showDropDown="false" showErrorMessage="true" showInputMessage="true" sqref="H4" type="list">
      <formula1>"Female"</formula1>
      <formula2>0</formula2>
    </dataValidation>
    <dataValidation allowBlank="true" errorStyle="stop" operator="between" showDropDown="false" showErrorMessage="true" showInputMessage="true" sqref="G6" type="list">
      <formula1>"unaffected_male_partner"</formula1>
      <formula2>0</formula2>
    </dataValidation>
    <dataValidation allowBlank="true" errorStyle="stop" operator="between" showDropDown="false" showErrorMessage="true" showInputMessage="true" sqref="H6" type="list">
      <formula1>"Male"</formula1>
      <formula2>0</formula2>
    </dataValidation>
    <dataValidation allowBlank="true" errorStyle="stop" operator="between" showDropDown="false" showErrorMessage="true" showInputMessage="true" sqref="H8" type="list">
      <formula1>"Female,Male"</formula1>
      <formula2>0</formula2>
    </dataValidation>
    <dataValidation allowBlank="true" errorStyle="stop" operator="between" showDropDown="false" showErrorMessage="true" showInputMessage="true" sqref="H11" type="list">
      <formula1>"Carrier,Affected,Unaffected"</formula1>
      <formula2>0</formula2>
    </dataValidation>
    <dataValidation allowBlank="true" errorStyle="stop" operator="between" showDropDown="false" showErrorMessage="true" showInputMessage="true" sqref="H12" type="list">
      <formula1>"Father,Mother,Son,Daughter,Embryo,Prenatal"</formula1>
      <formula2>0</formula2>
    </dataValidation>
    <dataValidation allowBlank="true" errorStyle="stop" operator="between" showDropDown="false" showErrorMessage="true" showInputMessage="true" sqref="H13" type="list">
      <formula1>"female_partner,both"</formula1>
      <formula2>0</formula2>
    </dataValidation>
    <dataValidation allowBlank="true" errorStyle="stop" operator="between" showDropDown="false" showErrorMessage="true" showInputMessage="true" sqref="H15 H17 M17 B18" type="list">
      <formula1>data_validation!$K$1:$K$2</formula1>
      <formula2>0</formula2>
    </dataValidation>
    <dataValidation allowBlank="true" errorStyle="stop" operator="between" showDropDown="false" showErrorMessage="true" showInputMessage="true" sqref="S4:S28" type="list">
      <formula1>data_validation!$J$3:$J$5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01" r:id="rId4" name="Button 29">
              <controlPr defaultSize="0" print="false" autoFill="0" autoPict="0" macro="Sheet1.Msgbox_confirm_reset">
                <anchor moveWithCells="true" sizeWithCells="false">
                  <from>
                    <xdr:col>10</xdr:col>
                    <xdr:colOff>1038240</xdr:colOff>
                    <xdr:row>29</xdr:row>
                    <xdr:rowOff>57240</xdr:rowOff>
                  </from>
                  <to>
                    <xdr:col>11</xdr:col>
                    <xdr:colOff>723960</xdr:colOff>
                    <xdr:row>30</xdr:row>
                    <xdr:rowOff>162000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02" r:id="rId5" name="Button 30">
              <controlPr defaultSize="0" print="false" autoFill="0" autoPict="0" macro="Sheet1.Msgbox_process_samples">
                <anchor moveWithCells="true" sizeWithCells="false">
                  <from>
                    <xdr:col>6</xdr:col>
                    <xdr:colOff>218880</xdr:colOff>
                    <xdr:row>31</xdr:row>
                    <xdr:rowOff>47520</xdr:rowOff>
                  </from>
                  <to>
                    <xdr:col>7</xdr:col>
                    <xdr:colOff>-1419480</xdr:colOff>
                    <xdr:row>32</xdr:row>
                    <xdr:rowOff>152280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Q21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5"/>
    <col collapsed="false" customWidth="true" hidden="false" outlineLevel="0" max="10" min="10" style="0" width="11.14"/>
    <col collapsed="false" customWidth="true" hidden="false" outlineLevel="0" max="12" min="12" style="0" width="11.85"/>
    <col collapsed="false" customWidth="true" hidden="false" outlineLevel="0" max="13" min="13" style="0" width="12"/>
    <col collapsed="false" customWidth="true" hidden="false" outlineLevel="0" max="14" min="14" style="0" width="10.57"/>
    <col collapsed="false" customWidth="true" hidden="false" outlineLevel="0" max="15" min="15" style="0" width="11.71"/>
    <col collapsed="false" customWidth="true" hidden="false" outlineLevel="0" max="16" min="16" style="0" width="15.57"/>
  </cols>
  <sheetData>
    <row r="1" customFormat="false" ht="15" hidden="false" customHeight="false" outlineLevel="0" collapsed="false">
      <c r="A1" s="48"/>
      <c r="B1" s="49"/>
      <c r="C1" s="49"/>
      <c r="D1" s="49"/>
      <c r="E1" s="49"/>
      <c r="F1" s="48"/>
      <c r="G1" s="49"/>
      <c r="H1" s="49"/>
      <c r="I1" s="49"/>
      <c r="J1" s="49"/>
      <c r="K1" s="49"/>
      <c r="L1" s="49"/>
      <c r="M1" s="49"/>
      <c r="N1" s="49"/>
      <c r="O1" s="48"/>
      <c r="P1" s="48"/>
    </row>
    <row r="2" customFormat="false" ht="63.75" hidden="false" customHeight="false" outlineLevel="0" collapsed="false">
      <c r="A2" s="50" t="s">
        <v>49</v>
      </c>
      <c r="B2" s="49"/>
      <c r="C2" s="49"/>
      <c r="D2" s="49"/>
      <c r="E2" s="49"/>
      <c r="F2" s="48"/>
      <c r="G2" s="51" t="s">
        <v>50</v>
      </c>
      <c r="H2" s="51" t="s">
        <v>51</v>
      </c>
      <c r="I2" s="51" t="s">
        <v>52</v>
      </c>
      <c r="J2" s="51" t="s">
        <v>53</v>
      </c>
      <c r="K2" s="51" t="s">
        <v>54</v>
      </c>
      <c r="L2" s="51" t="s">
        <v>55</v>
      </c>
      <c r="M2" s="51" t="s">
        <v>56</v>
      </c>
      <c r="N2" s="52" t="s">
        <v>57</v>
      </c>
      <c r="O2" s="52" t="s">
        <v>58</v>
      </c>
      <c r="P2" s="51" t="s">
        <v>59</v>
      </c>
      <c r="Q2" s="53" t="s">
        <v>60</v>
      </c>
    </row>
    <row r="3" customFormat="false" ht="15" hidden="false" customHeight="false" outlineLevel="0" collapsed="false">
      <c r="A3" s="48"/>
      <c r="B3" s="54" t="s">
        <v>61</v>
      </c>
      <c r="C3" s="54"/>
      <c r="D3" s="54" t="s">
        <v>62</v>
      </c>
      <c r="E3" s="54"/>
      <c r="F3" s="48"/>
      <c r="G3" s="55"/>
      <c r="H3" s="55"/>
      <c r="I3" s="56"/>
      <c r="J3" s="56"/>
      <c r="K3" s="55"/>
      <c r="L3" s="55"/>
      <c r="M3" s="55"/>
      <c r="N3" s="55"/>
      <c r="O3" s="55"/>
      <c r="P3" s="55"/>
      <c r="Q3" s="55"/>
    </row>
    <row r="4" customFormat="false" ht="15" hidden="false" customHeight="false" outlineLevel="0" collapsed="false">
      <c r="A4" s="57" t="s">
        <v>63</v>
      </c>
      <c r="B4" s="58" t="s">
        <v>64</v>
      </c>
      <c r="C4" s="58" t="s">
        <v>65</v>
      </c>
      <c r="D4" s="58" t="s">
        <v>64</v>
      </c>
      <c r="E4" s="58" t="s">
        <v>65</v>
      </c>
      <c r="F4" s="48"/>
      <c r="G4" s="55"/>
      <c r="H4" s="55"/>
      <c r="I4" s="55"/>
      <c r="J4" s="55"/>
      <c r="K4" s="55"/>
      <c r="L4" s="55"/>
      <c r="M4" s="55"/>
      <c r="N4" s="55"/>
      <c r="O4" s="55"/>
      <c r="P4" s="55"/>
      <c r="Q4" s="55"/>
    </row>
    <row r="5" customFormat="false" ht="15" hidden="false" customHeight="false" outlineLevel="0" collapsed="false">
      <c r="A5" s="59" t="s">
        <v>66</v>
      </c>
      <c r="B5" s="55"/>
      <c r="C5" s="60"/>
      <c r="D5" s="55"/>
      <c r="E5" s="60"/>
      <c r="F5" s="48"/>
      <c r="G5" s="55"/>
      <c r="H5" s="55"/>
      <c r="I5" s="55"/>
      <c r="J5" s="55"/>
      <c r="K5" s="55"/>
      <c r="L5" s="55"/>
      <c r="M5" s="55"/>
      <c r="N5" s="55"/>
      <c r="O5" s="55"/>
      <c r="P5" s="55"/>
      <c r="Q5" s="55"/>
    </row>
    <row r="6" customFormat="false" ht="15" hidden="false" customHeight="false" outlineLevel="0" collapsed="false">
      <c r="A6" s="59" t="s">
        <v>67</v>
      </c>
      <c r="B6" s="55"/>
      <c r="C6" s="60"/>
      <c r="D6" s="55"/>
      <c r="E6" s="60"/>
      <c r="F6" s="48"/>
      <c r="G6" s="49"/>
      <c r="H6" s="49"/>
      <c r="I6" s="49"/>
      <c r="J6" s="49"/>
      <c r="K6" s="49"/>
      <c r="L6" s="49"/>
      <c r="M6" s="49"/>
      <c r="N6" s="49"/>
      <c r="O6" s="48"/>
      <c r="P6" s="48"/>
    </row>
    <row r="7" customFormat="false" ht="15" hidden="false" customHeight="false" outlineLevel="0" collapsed="false">
      <c r="A7" s="59" t="s">
        <v>68</v>
      </c>
      <c r="B7" s="55"/>
      <c r="C7" s="60"/>
      <c r="D7" s="61"/>
      <c r="E7" s="62"/>
      <c r="F7" s="48"/>
      <c r="G7" s="49"/>
      <c r="H7" s="49"/>
      <c r="I7" s="49"/>
      <c r="J7" s="49"/>
      <c r="K7" s="49"/>
      <c r="L7" s="49"/>
      <c r="M7" s="49"/>
      <c r="N7" s="49"/>
      <c r="O7" s="48"/>
      <c r="P7" s="48"/>
    </row>
    <row r="8" customFormat="false" ht="15" hidden="false" customHeight="false" outlineLevel="0" collapsed="false">
      <c r="A8" s="59" t="s">
        <v>69</v>
      </c>
      <c r="B8" s="55"/>
      <c r="C8" s="60"/>
      <c r="D8" s="55"/>
      <c r="E8" s="60"/>
      <c r="F8" s="48"/>
      <c r="G8" s="49"/>
      <c r="H8" s="49"/>
      <c r="I8" s="49"/>
      <c r="J8" s="49"/>
      <c r="K8" s="49"/>
      <c r="L8" s="49"/>
      <c r="M8" s="49"/>
      <c r="N8" s="49"/>
      <c r="O8" s="48"/>
      <c r="P8" s="48"/>
    </row>
    <row r="9" customFormat="false" ht="15" hidden="false" customHeight="false" outlineLevel="0" collapsed="false">
      <c r="A9" s="59" t="s">
        <v>70</v>
      </c>
      <c r="B9" s="55"/>
      <c r="C9" s="60"/>
      <c r="D9" s="61"/>
      <c r="E9" s="62"/>
      <c r="F9" s="48"/>
      <c r="G9" s="49"/>
      <c r="H9" s="49"/>
      <c r="I9" s="49"/>
      <c r="J9" s="49"/>
      <c r="K9" s="49"/>
      <c r="L9" s="49"/>
      <c r="M9" s="49"/>
      <c r="N9" s="49"/>
      <c r="O9" s="48"/>
      <c r="P9" s="48"/>
    </row>
    <row r="10" customFormat="false" ht="15" hidden="false" customHeight="false" outlineLevel="0" collapsed="false">
      <c r="A10" s="59" t="s">
        <v>71</v>
      </c>
      <c r="B10" s="55"/>
      <c r="C10" s="60"/>
      <c r="D10" s="55"/>
      <c r="E10" s="60"/>
      <c r="F10" s="48"/>
      <c r="G10" s="49"/>
      <c r="H10" s="49"/>
      <c r="I10" s="49"/>
      <c r="J10" s="49"/>
      <c r="K10" s="49"/>
      <c r="L10" s="49"/>
      <c r="M10" s="49"/>
      <c r="N10" s="49"/>
      <c r="O10" s="48"/>
      <c r="P10" s="48"/>
    </row>
    <row r="11" customFormat="false" ht="15" hidden="false" customHeight="false" outlineLevel="0" collapsed="false">
      <c r="A11" s="48"/>
      <c r="B11" s="63"/>
      <c r="C11" s="64"/>
      <c r="D11" s="63"/>
      <c r="E11" s="64"/>
      <c r="F11" s="48"/>
      <c r="G11" s="49"/>
      <c r="H11" s="49"/>
      <c r="I11" s="49"/>
      <c r="J11" s="49"/>
      <c r="K11" s="49"/>
      <c r="L11" s="49"/>
      <c r="M11" s="49"/>
      <c r="N11" s="49"/>
      <c r="O11" s="48"/>
      <c r="P11" s="48"/>
    </row>
    <row r="12" customFormat="false" ht="15" hidden="false" customHeight="false" outlineLevel="0" collapsed="false">
      <c r="A12" s="48"/>
      <c r="B12" s="54" t="s">
        <v>61</v>
      </c>
      <c r="C12" s="54"/>
      <c r="D12" s="54" t="s">
        <v>62</v>
      </c>
      <c r="E12" s="54"/>
      <c r="F12" s="48"/>
      <c r="G12" s="49"/>
      <c r="H12" s="49"/>
      <c r="I12" s="49"/>
      <c r="J12" s="49"/>
      <c r="K12" s="49"/>
      <c r="L12" s="49"/>
      <c r="M12" s="49"/>
      <c r="N12" s="49"/>
      <c r="O12" s="48"/>
      <c r="P12" s="48"/>
    </row>
    <row r="13" customFormat="false" ht="15" hidden="false" customHeight="false" outlineLevel="0" collapsed="false">
      <c r="A13" s="57" t="s">
        <v>72</v>
      </c>
      <c r="B13" s="58" t="s">
        <v>64</v>
      </c>
      <c r="C13" s="58" t="s">
        <v>65</v>
      </c>
      <c r="D13" s="58" t="s">
        <v>64</v>
      </c>
      <c r="E13" s="58" t="s">
        <v>65</v>
      </c>
      <c r="F13" s="48"/>
      <c r="G13" s="49"/>
      <c r="H13" s="49"/>
      <c r="I13" s="49"/>
      <c r="J13" s="49"/>
      <c r="K13" s="49"/>
      <c r="L13" s="49"/>
      <c r="M13" s="49"/>
      <c r="N13" s="49"/>
      <c r="O13" s="48"/>
      <c r="P13" s="48"/>
    </row>
    <row r="14" customFormat="false" ht="15" hidden="false" customHeight="false" outlineLevel="0" collapsed="false">
      <c r="A14" s="59" t="s">
        <v>73</v>
      </c>
      <c r="B14" s="56"/>
      <c r="C14" s="56"/>
      <c r="D14" s="56"/>
      <c r="E14" s="56"/>
      <c r="F14" s="48"/>
      <c r="G14" s="49"/>
      <c r="H14" s="49"/>
      <c r="I14" s="49"/>
      <c r="J14" s="49"/>
      <c r="K14" s="49"/>
      <c r="L14" s="49"/>
      <c r="M14" s="49"/>
      <c r="N14" s="49"/>
      <c r="O14" s="48"/>
      <c r="P14" s="48"/>
    </row>
    <row r="15" customFormat="false" ht="15" hidden="false" customHeight="false" outlineLevel="0" collapsed="false">
      <c r="A15" s="59" t="s">
        <v>74</v>
      </c>
      <c r="B15" s="56"/>
      <c r="C15" s="56"/>
      <c r="D15" s="56"/>
      <c r="E15" s="56"/>
      <c r="F15" s="48"/>
      <c r="G15" s="49"/>
      <c r="H15" s="49"/>
      <c r="I15" s="49"/>
      <c r="J15" s="49"/>
      <c r="K15" s="49"/>
      <c r="L15" s="49"/>
      <c r="M15" s="49"/>
      <c r="N15" s="49"/>
      <c r="O15" s="48"/>
      <c r="P15" s="48"/>
    </row>
    <row r="16" customFormat="false" ht="15" hidden="false" customHeight="false" outlineLevel="0" collapsed="false">
      <c r="A16" s="65"/>
      <c r="B16" s="49"/>
      <c r="C16" s="49"/>
      <c r="D16" s="49"/>
      <c r="E16" s="49"/>
      <c r="F16" s="48"/>
      <c r="G16" s="49"/>
      <c r="H16" s="49"/>
      <c r="I16" s="49"/>
      <c r="J16" s="49"/>
      <c r="K16" s="49"/>
      <c r="L16" s="49"/>
      <c r="M16" s="49"/>
      <c r="N16" s="49"/>
      <c r="O16" s="48"/>
      <c r="P16" s="48"/>
    </row>
    <row r="17" customFormat="false" ht="15" hidden="false" customHeight="false" outlineLevel="0" collapsed="false">
      <c r="A17" s="65"/>
      <c r="B17" s="49"/>
      <c r="C17" s="49"/>
      <c r="D17" s="49"/>
      <c r="E17" s="49"/>
      <c r="F17" s="48"/>
      <c r="G17" s="49"/>
      <c r="H17" s="49"/>
      <c r="I17" s="49"/>
      <c r="J17" s="49"/>
      <c r="K17" s="49"/>
      <c r="L17" s="49"/>
      <c r="M17" s="49"/>
      <c r="N17" s="49"/>
      <c r="O17" s="48"/>
      <c r="P17" s="48"/>
    </row>
    <row r="18" customFormat="false" ht="15" hidden="false" customHeight="false" outlineLevel="0" collapsed="false">
      <c r="A18" s="66" t="s">
        <v>75</v>
      </c>
      <c r="B18" s="49"/>
      <c r="C18" s="49"/>
      <c r="D18" s="49"/>
      <c r="E18" s="49"/>
      <c r="F18" s="48"/>
      <c r="G18" s="67"/>
      <c r="H18" s="49"/>
      <c r="I18" s="49"/>
      <c r="J18" s="49"/>
      <c r="K18" s="49"/>
      <c r="L18" s="49"/>
      <c r="M18" s="49"/>
      <c r="N18" s="49"/>
      <c r="O18" s="48"/>
      <c r="P18" s="48"/>
    </row>
    <row r="19" customFormat="false" ht="15" hidden="false" customHeight="false" outlineLevel="0" collapsed="false">
      <c r="A19" s="65" t="s">
        <v>76</v>
      </c>
      <c r="B19" s="49"/>
      <c r="C19" s="49"/>
      <c r="D19" s="49"/>
      <c r="E19" s="49"/>
      <c r="F19" s="48"/>
      <c r="G19" s="49"/>
      <c r="H19" s="49"/>
      <c r="I19" s="49"/>
      <c r="J19" s="49"/>
      <c r="K19" s="49"/>
      <c r="L19" s="49"/>
      <c r="M19" s="49"/>
      <c r="N19" s="49"/>
      <c r="O19" s="48"/>
      <c r="P19" s="48"/>
    </row>
    <row r="20" customFormat="false" ht="15" hidden="false" customHeight="false" outlineLevel="0" collapsed="false">
      <c r="A20" s="68"/>
      <c r="B20" s="49"/>
      <c r="C20" s="49"/>
      <c r="D20" s="49"/>
      <c r="E20" s="49"/>
      <c r="F20" s="48"/>
      <c r="G20" s="49"/>
      <c r="H20" s="49"/>
      <c r="I20" s="49"/>
      <c r="J20" s="49"/>
      <c r="K20" s="49"/>
      <c r="L20" s="49"/>
      <c r="M20" s="49"/>
      <c r="N20" s="49"/>
      <c r="O20" s="48"/>
      <c r="P20" s="48"/>
    </row>
    <row r="21" customFormat="false" ht="15" hidden="false" customHeight="false" outlineLevel="0" collapsed="false">
      <c r="A21" s="69" t="s">
        <v>77</v>
      </c>
      <c r="B21" s="49"/>
      <c r="C21" s="49"/>
      <c r="D21" s="49"/>
      <c r="E21" s="49"/>
      <c r="F21" s="48"/>
      <c r="G21" s="49"/>
      <c r="H21" s="49"/>
      <c r="I21" s="70"/>
      <c r="J21" s="70"/>
      <c r="K21" s="49"/>
      <c r="L21" s="49"/>
      <c r="M21" s="49"/>
      <c r="N21" s="49"/>
      <c r="O21" s="48"/>
      <c r="P21" s="48"/>
    </row>
  </sheetData>
  <mergeCells count="4">
    <mergeCell ref="B3:C3"/>
    <mergeCell ref="D3:E3"/>
    <mergeCell ref="B12:C12"/>
    <mergeCell ref="D12:E12"/>
  </mergeCells>
  <hyperlinks>
    <hyperlink ref="A21" r:id="rId1" display="..\..\..\..\Current\PGD\pgd results\SNP array\Genotyping data from MSV &amp; ChAS detail view exports"/>
  </hyperlink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A26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35"/>
    <col collapsed="false" customWidth="true" hidden="false" outlineLevel="0" max="7" min="7" style="0" width="17.57"/>
    <col collapsed="false" customWidth="true" hidden="false" outlineLevel="0" max="8" min="8" style="0" width="11.14"/>
    <col collapsed="false" customWidth="true" hidden="false" outlineLevel="0" max="9" min="9" style="0" width="8.28"/>
    <col collapsed="false" customWidth="true" hidden="false" outlineLevel="0" max="10" min="10" style="0" width="12.28"/>
    <col collapsed="false" customWidth="true" hidden="false" outlineLevel="0" max="11" min="11" style="0" width="9"/>
    <col collapsed="false" customWidth="true" hidden="false" outlineLevel="0" max="12" min="12" style="0" width="10.85"/>
    <col collapsed="false" customWidth="true" hidden="false" outlineLevel="0" max="13" min="13" style="0" width="10.57"/>
    <col collapsed="false" customWidth="true" hidden="false" outlineLevel="0" max="14" min="14" style="0" width="12.43"/>
    <col collapsed="false" customWidth="true" hidden="false" outlineLevel="0" max="15" min="15" style="0" width="14.14"/>
    <col collapsed="false" customWidth="true" hidden="false" outlineLevel="0" max="25" min="16" style="0" width="17.57"/>
  </cols>
  <sheetData>
    <row r="1" customFormat="false" ht="15.75" hidden="false" customHeight="true" outlineLevel="0" collapsed="false">
      <c r="A1" s="48"/>
      <c r="B1" s="49"/>
      <c r="C1" s="49"/>
      <c r="D1" s="49"/>
      <c r="E1" s="49"/>
      <c r="F1" s="48"/>
      <c r="G1" s="49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71" t="s">
        <v>78</v>
      </c>
      <c r="W1" s="71"/>
      <c r="X1" s="71"/>
      <c r="Y1" s="72" t="s">
        <v>79</v>
      </c>
      <c r="Z1" s="48"/>
      <c r="AA1" s="48"/>
    </row>
    <row r="2" customFormat="false" ht="51" hidden="false" customHeight="false" outlineLevel="0" collapsed="false">
      <c r="A2" s="50" t="s">
        <v>49</v>
      </c>
      <c r="B2" s="49"/>
      <c r="C2" s="49"/>
      <c r="D2" s="49"/>
      <c r="E2" s="49"/>
      <c r="F2" s="48"/>
      <c r="G2" s="51" t="s">
        <v>50</v>
      </c>
      <c r="H2" s="51" t="s">
        <v>51</v>
      </c>
      <c r="I2" s="51" t="s">
        <v>80</v>
      </c>
      <c r="J2" s="51" t="s">
        <v>81</v>
      </c>
      <c r="K2" s="51" t="s">
        <v>82</v>
      </c>
      <c r="L2" s="51" t="s">
        <v>55</v>
      </c>
      <c r="M2" s="51" t="s">
        <v>56</v>
      </c>
      <c r="N2" s="52" t="s">
        <v>57</v>
      </c>
      <c r="O2" s="52" t="s">
        <v>58</v>
      </c>
      <c r="P2" s="73" t="s">
        <v>83</v>
      </c>
      <c r="Q2" s="73" t="s">
        <v>84</v>
      </c>
      <c r="R2" s="73" t="s">
        <v>85</v>
      </c>
      <c r="S2" s="73" t="s">
        <v>86</v>
      </c>
      <c r="T2" s="74" t="s">
        <v>87</v>
      </c>
      <c r="U2" s="75" t="s">
        <v>88</v>
      </c>
      <c r="V2" s="76" t="s">
        <v>89</v>
      </c>
      <c r="W2" s="76" t="s">
        <v>90</v>
      </c>
      <c r="X2" s="77" t="s">
        <v>91</v>
      </c>
      <c r="Y2" s="78"/>
      <c r="Z2" s="48"/>
      <c r="AA2" s="48"/>
    </row>
    <row r="3" customFormat="false" ht="15" hidden="false" customHeight="false" outlineLevel="0" collapsed="false">
      <c r="A3" s="65"/>
      <c r="B3" s="54" t="s">
        <v>61</v>
      </c>
      <c r="C3" s="54"/>
      <c r="D3" s="54" t="s">
        <v>62</v>
      </c>
      <c r="E3" s="54"/>
      <c r="F3" s="48"/>
      <c r="G3" s="55"/>
      <c r="H3" s="55"/>
      <c r="I3" s="55"/>
      <c r="J3" s="56"/>
      <c r="K3" s="56"/>
      <c r="L3" s="55"/>
      <c r="M3" s="55"/>
      <c r="N3" s="55"/>
      <c r="O3" s="55"/>
      <c r="P3" s="79"/>
      <c r="Q3" s="80"/>
      <c r="R3" s="80"/>
      <c r="S3" s="80"/>
      <c r="T3" s="81"/>
      <c r="U3" s="82"/>
      <c r="V3" s="83" t="str">
        <f aca="false">IFERROR(IF(P3="","",K3),"")</f>
        <v/>
      </c>
      <c r="W3" s="83" t="str">
        <f aca="false">IFERROR(IF(U3="","",U3),"")</f>
        <v/>
      </c>
      <c r="X3" s="84"/>
      <c r="Y3" s="85"/>
      <c r="Z3" s="48"/>
      <c r="AA3" s="48"/>
    </row>
    <row r="4" customFormat="false" ht="15" hidden="false" customHeight="false" outlineLevel="0" collapsed="false">
      <c r="A4" s="57" t="s">
        <v>92</v>
      </c>
      <c r="B4" s="58" t="s">
        <v>64</v>
      </c>
      <c r="C4" s="58" t="s">
        <v>65</v>
      </c>
      <c r="D4" s="58" t="s">
        <v>64</v>
      </c>
      <c r="E4" s="58" t="s">
        <v>65</v>
      </c>
      <c r="F4" s="48"/>
      <c r="G4" s="55"/>
      <c r="H4" s="55"/>
      <c r="I4" s="55"/>
      <c r="J4" s="55"/>
      <c r="K4" s="55"/>
      <c r="L4" s="55"/>
      <c r="M4" s="55"/>
      <c r="N4" s="55"/>
      <c r="O4" s="55"/>
      <c r="P4" s="80"/>
      <c r="Q4" s="80"/>
      <c r="R4" s="80"/>
      <c r="S4" s="80"/>
      <c r="T4" s="81"/>
      <c r="U4" s="82"/>
      <c r="V4" s="83" t="str">
        <f aca="false">IFERROR(IF(P4="","",K4),"")</f>
        <v/>
      </c>
      <c r="W4" s="83" t="str">
        <f aca="false">IFERROR(IF(U4="","",U4),"")</f>
        <v/>
      </c>
      <c r="X4" s="84"/>
      <c r="Y4" s="85"/>
      <c r="Z4" s="48"/>
      <c r="AA4" s="48"/>
    </row>
    <row r="5" customFormat="false" ht="15" hidden="false" customHeight="false" outlineLevel="0" collapsed="false">
      <c r="A5" s="59" t="s">
        <v>67</v>
      </c>
      <c r="B5" s="55"/>
      <c r="C5" s="60"/>
      <c r="D5" s="61"/>
      <c r="E5" s="62"/>
      <c r="F5" s="48"/>
      <c r="G5" s="55"/>
      <c r="H5" s="55"/>
      <c r="I5" s="55"/>
      <c r="J5" s="55"/>
      <c r="K5" s="55"/>
      <c r="L5" s="55"/>
      <c r="M5" s="55"/>
      <c r="N5" s="55"/>
      <c r="O5" s="55"/>
      <c r="P5" s="80"/>
      <c r="Q5" s="80"/>
      <c r="R5" s="80"/>
      <c r="S5" s="80"/>
      <c r="T5" s="81"/>
      <c r="U5" s="82"/>
      <c r="V5" s="83" t="str">
        <f aca="false">IFERROR(IF(P5="","",K5),"")</f>
        <v/>
      </c>
      <c r="W5" s="83" t="str">
        <f aca="false">IFERROR(IF(U5="","",U5),"")</f>
        <v/>
      </c>
      <c r="X5" s="84"/>
      <c r="Y5" s="85"/>
      <c r="Z5" s="48"/>
      <c r="AA5" s="48"/>
    </row>
    <row r="6" customFormat="false" ht="15" hidden="false" customHeight="false" outlineLevel="0" collapsed="false">
      <c r="A6" s="59" t="s">
        <v>68</v>
      </c>
      <c r="B6" s="55"/>
      <c r="C6" s="60"/>
      <c r="D6" s="61"/>
      <c r="E6" s="62"/>
      <c r="F6" s="48"/>
      <c r="G6" s="55"/>
      <c r="H6" s="55"/>
      <c r="I6" s="55"/>
      <c r="J6" s="55"/>
      <c r="K6" s="55"/>
      <c r="L6" s="55"/>
      <c r="M6" s="55"/>
      <c r="N6" s="55"/>
      <c r="O6" s="55"/>
      <c r="P6" s="80"/>
      <c r="Q6" s="80"/>
      <c r="R6" s="80"/>
      <c r="S6" s="80"/>
      <c r="T6" s="86"/>
      <c r="U6" s="82"/>
      <c r="V6" s="83" t="str">
        <f aca="false">IFERROR(IF(P6="","",K6),"")</f>
        <v/>
      </c>
      <c r="W6" s="83" t="str">
        <f aca="false">IFERROR(IF(U6="","",U6),"")</f>
        <v/>
      </c>
      <c r="X6" s="84"/>
      <c r="Y6" s="85"/>
      <c r="Z6" s="48"/>
      <c r="AA6" s="48"/>
    </row>
    <row r="7" customFormat="false" ht="15" hidden="false" customHeight="false" outlineLevel="0" collapsed="false">
      <c r="A7" s="59" t="s">
        <v>93</v>
      </c>
      <c r="B7" s="55"/>
      <c r="C7" s="60"/>
      <c r="D7" s="55"/>
      <c r="E7" s="60"/>
      <c r="F7" s="48"/>
      <c r="G7" s="55"/>
      <c r="H7" s="55"/>
      <c r="I7" s="55"/>
      <c r="J7" s="55"/>
      <c r="K7" s="55"/>
      <c r="L7" s="55"/>
      <c r="M7" s="55"/>
      <c r="N7" s="55"/>
      <c r="O7" s="55"/>
      <c r="P7" s="80"/>
      <c r="Q7" s="80"/>
      <c r="R7" s="80"/>
      <c r="S7" s="80"/>
      <c r="T7" s="86"/>
      <c r="U7" s="82"/>
      <c r="V7" s="83" t="str">
        <f aca="false">IFERROR(IF(P7="","",K7),"")</f>
        <v/>
      </c>
      <c r="W7" s="83" t="str">
        <f aca="false">IFERROR(IF(U7="","",U7),"")</f>
        <v/>
      </c>
      <c r="X7" s="84"/>
      <c r="Y7" s="85"/>
      <c r="Z7" s="48"/>
      <c r="AA7" s="48"/>
    </row>
    <row r="8" customFormat="false" ht="15" hidden="false" customHeight="false" outlineLevel="0" collapsed="false">
      <c r="A8" s="59" t="s">
        <v>70</v>
      </c>
      <c r="B8" s="55"/>
      <c r="C8" s="60"/>
      <c r="D8" s="61"/>
      <c r="E8" s="62"/>
      <c r="F8" s="48"/>
      <c r="G8" s="55"/>
      <c r="H8" s="55"/>
      <c r="I8" s="55"/>
      <c r="J8" s="55"/>
      <c r="K8" s="55"/>
      <c r="L8" s="55"/>
      <c r="M8" s="55"/>
      <c r="N8" s="55"/>
      <c r="O8" s="55"/>
      <c r="P8" s="80"/>
      <c r="Q8" s="80"/>
      <c r="R8" s="80"/>
      <c r="S8" s="80"/>
      <c r="T8" s="86"/>
      <c r="U8" s="82"/>
      <c r="V8" s="83" t="str">
        <f aca="false">IFERROR(IF(P8="","",K8),"")</f>
        <v/>
      </c>
      <c r="W8" s="83" t="str">
        <f aca="false">IFERROR(IF(U8="","",U8),"")</f>
        <v/>
      </c>
      <c r="X8" s="84"/>
      <c r="Y8" s="85"/>
      <c r="Z8" s="48"/>
      <c r="AA8" s="48"/>
    </row>
    <row r="9" customFormat="false" ht="15" hidden="false" customHeight="false" outlineLevel="0" collapsed="false">
      <c r="A9" s="59" t="s">
        <v>94</v>
      </c>
      <c r="B9" s="55"/>
      <c r="C9" s="60"/>
      <c r="D9" s="55"/>
      <c r="E9" s="60"/>
      <c r="F9" s="48"/>
      <c r="G9" s="55"/>
      <c r="H9" s="55"/>
      <c r="I9" s="55"/>
      <c r="J9" s="55"/>
      <c r="K9" s="55"/>
      <c r="L9" s="55"/>
      <c r="M9" s="55"/>
      <c r="N9" s="55"/>
      <c r="O9" s="55"/>
      <c r="P9" s="80"/>
      <c r="Q9" s="80"/>
      <c r="R9" s="80"/>
      <c r="S9" s="80"/>
      <c r="T9" s="86"/>
      <c r="U9" s="82"/>
      <c r="V9" s="83" t="str">
        <f aca="false">IFERROR(IF(P9="","",K9),"")</f>
        <v/>
      </c>
      <c r="W9" s="83" t="str">
        <f aca="false">IFERROR(IF(U9="","",U9),"")</f>
        <v/>
      </c>
      <c r="X9" s="84"/>
      <c r="Y9" s="85"/>
      <c r="Z9" s="48"/>
      <c r="AA9" s="48"/>
    </row>
    <row r="10" customFormat="false" ht="15" hidden="false" customHeight="false" outlineLevel="0" collapsed="false">
      <c r="A10" s="48"/>
      <c r="B10" s="49"/>
      <c r="C10" s="49"/>
      <c r="D10" s="49"/>
      <c r="E10" s="49"/>
      <c r="F10" s="48"/>
      <c r="G10" s="55"/>
      <c r="H10" s="55"/>
      <c r="I10" s="55"/>
      <c r="J10" s="55"/>
      <c r="K10" s="55"/>
      <c r="L10" s="55"/>
      <c r="M10" s="55"/>
      <c r="N10" s="55"/>
      <c r="O10" s="55"/>
      <c r="P10" s="80"/>
      <c r="Q10" s="80"/>
      <c r="R10" s="80"/>
      <c r="S10" s="80"/>
      <c r="T10" s="86"/>
      <c r="U10" s="82"/>
      <c r="V10" s="83" t="str">
        <f aca="false">IFERROR(IF(P10="","",K10),"")</f>
        <v/>
      </c>
      <c r="W10" s="83" t="str">
        <f aca="false">IFERROR(IF(U10="","",U10),"")</f>
        <v/>
      </c>
      <c r="X10" s="84"/>
      <c r="Y10" s="85"/>
      <c r="Z10" s="48"/>
      <c r="AA10" s="48"/>
    </row>
    <row r="11" customFormat="false" ht="15" hidden="false" customHeight="false" outlineLevel="0" collapsed="false">
      <c r="A11" s="48"/>
      <c r="B11" s="49"/>
      <c r="C11" s="49"/>
      <c r="D11" s="49"/>
      <c r="E11" s="49"/>
      <c r="F11" s="48"/>
      <c r="G11" s="55"/>
      <c r="H11" s="55"/>
      <c r="I11" s="55"/>
      <c r="J11" s="56"/>
      <c r="K11" s="56"/>
      <c r="L11" s="55"/>
      <c r="M11" s="55"/>
      <c r="N11" s="55"/>
      <c r="O11" s="55"/>
      <c r="P11" s="80"/>
      <c r="Q11" s="80"/>
      <c r="R11" s="80"/>
      <c r="S11" s="80"/>
      <c r="T11" s="86"/>
      <c r="U11" s="82"/>
      <c r="V11" s="83" t="str">
        <f aca="false">IFERROR(IF(P11="","",K11),"")</f>
        <v/>
      </c>
      <c r="W11" s="83" t="str">
        <f aca="false">IFERROR(IF(U11="","",U11),"")</f>
        <v/>
      </c>
      <c r="X11" s="84"/>
      <c r="Y11" s="85"/>
      <c r="Z11" s="48"/>
      <c r="AA11" s="48"/>
    </row>
    <row r="12" customFormat="false" ht="15" hidden="false" customHeight="false" outlineLevel="0" collapsed="false">
      <c r="A12" s="48"/>
      <c r="B12" s="54" t="s">
        <v>95</v>
      </c>
      <c r="C12" s="54"/>
      <c r="D12" s="54" t="s">
        <v>96</v>
      </c>
      <c r="E12" s="54"/>
      <c r="F12" s="48"/>
      <c r="G12" s="55"/>
      <c r="H12" s="55"/>
      <c r="I12" s="55"/>
      <c r="J12" s="56"/>
      <c r="K12" s="56"/>
      <c r="L12" s="55"/>
      <c r="M12" s="55"/>
      <c r="N12" s="55"/>
      <c r="O12" s="55"/>
      <c r="P12" s="80"/>
      <c r="Q12" s="80"/>
      <c r="R12" s="80"/>
      <c r="S12" s="80"/>
      <c r="T12" s="86"/>
      <c r="U12" s="82"/>
      <c r="V12" s="83" t="str">
        <f aca="false">IFERROR(IF(P12="","",K12),"")</f>
        <v/>
      </c>
      <c r="W12" s="83" t="str">
        <f aca="false">IFERROR(IF(U12="","",U12),"")</f>
        <v/>
      </c>
      <c r="X12" s="84"/>
      <c r="Y12" s="85"/>
      <c r="Z12" s="48"/>
      <c r="AA12" s="48"/>
    </row>
    <row r="13" customFormat="false" ht="15" hidden="false" customHeight="false" outlineLevel="0" collapsed="false">
      <c r="A13" s="57" t="s">
        <v>97</v>
      </c>
      <c r="B13" s="58" t="s">
        <v>64</v>
      </c>
      <c r="C13" s="58" t="s">
        <v>65</v>
      </c>
      <c r="D13" s="58" t="s">
        <v>64</v>
      </c>
      <c r="E13" s="58" t="s">
        <v>65</v>
      </c>
      <c r="F13" s="48"/>
      <c r="G13" s="55"/>
      <c r="H13" s="55"/>
      <c r="I13" s="55"/>
      <c r="J13" s="55"/>
      <c r="K13" s="55"/>
      <c r="L13" s="55"/>
      <c r="M13" s="55"/>
      <c r="N13" s="55"/>
      <c r="O13" s="55"/>
      <c r="P13" s="80"/>
      <c r="Q13" s="80"/>
      <c r="R13" s="80"/>
      <c r="S13" s="80"/>
      <c r="T13" s="86"/>
      <c r="U13" s="82"/>
      <c r="V13" s="83" t="str">
        <f aca="false">IFERROR(IF(P13="","",K13),"")</f>
        <v/>
      </c>
      <c r="W13" s="83" t="str">
        <f aca="false">IFERROR(IF(U13="","",U13),"")</f>
        <v/>
      </c>
      <c r="X13" s="84"/>
      <c r="Y13" s="85"/>
      <c r="Z13" s="48"/>
      <c r="AA13" s="48"/>
    </row>
    <row r="14" customFormat="false" ht="15" hidden="false" customHeight="false" outlineLevel="0" collapsed="false">
      <c r="A14" s="87" t="s">
        <v>73</v>
      </c>
      <c r="B14" s="55"/>
      <c r="C14" s="60"/>
      <c r="D14" s="56"/>
      <c r="E14" s="56"/>
      <c r="F14" s="48"/>
      <c r="G14" s="55"/>
      <c r="H14" s="55"/>
      <c r="I14" s="55"/>
      <c r="J14" s="55"/>
      <c r="K14" s="55"/>
      <c r="L14" s="55"/>
      <c r="M14" s="55"/>
      <c r="N14" s="55"/>
      <c r="O14" s="55"/>
      <c r="P14" s="80"/>
      <c r="Q14" s="80"/>
      <c r="R14" s="80"/>
      <c r="S14" s="80"/>
      <c r="T14" s="86"/>
      <c r="U14" s="82"/>
      <c r="V14" s="83" t="str">
        <f aca="false">IFERROR(IF(P14="","",K14),"")</f>
        <v/>
      </c>
      <c r="W14" s="83" t="str">
        <f aca="false">IFERROR(IF(U14="","",U14),"")</f>
        <v/>
      </c>
      <c r="X14" s="84"/>
      <c r="Y14" s="85"/>
      <c r="Z14" s="48"/>
      <c r="AA14" s="48"/>
    </row>
    <row r="15" customFormat="false" ht="15" hidden="false" customHeight="false" outlineLevel="0" collapsed="false">
      <c r="A15" s="85" t="s">
        <v>74</v>
      </c>
      <c r="B15" s="55"/>
      <c r="C15" s="60"/>
      <c r="D15" s="56"/>
      <c r="E15" s="56"/>
      <c r="F15" s="48"/>
      <c r="G15" s="55"/>
      <c r="H15" s="55"/>
      <c r="I15" s="55"/>
      <c r="J15" s="55"/>
      <c r="K15" s="55"/>
      <c r="L15" s="55"/>
      <c r="M15" s="55"/>
      <c r="N15" s="55"/>
      <c r="O15" s="55"/>
      <c r="P15" s="80"/>
      <c r="Q15" s="80"/>
      <c r="R15" s="80"/>
      <c r="S15" s="80"/>
      <c r="T15" s="81"/>
      <c r="U15" s="82"/>
      <c r="V15" s="83" t="str">
        <f aca="false">IFERROR(IF(P15="","",K15),"")</f>
        <v/>
      </c>
      <c r="W15" s="83" t="str">
        <f aca="false">IFERROR(IF(U15="","",U15),"")</f>
        <v/>
      </c>
      <c r="X15" s="84"/>
      <c r="Y15" s="85"/>
      <c r="Z15" s="48"/>
      <c r="AA15" s="48"/>
    </row>
    <row r="16" customFormat="false" ht="15" hidden="false" customHeight="false" outlineLevel="0" collapsed="false">
      <c r="A16" s="48"/>
      <c r="B16" s="49"/>
      <c r="C16" s="49"/>
      <c r="D16" s="49"/>
      <c r="E16" s="49"/>
      <c r="F16" s="48"/>
      <c r="G16" s="55"/>
      <c r="H16" s="55"/>
      <c r="I16" s="55"/>
      <c r="J16" s="55"/>
      <c r="K16" s="55"/>
      <c r="L16" s="55"/>
      <c r="M16" s="55"/>
      <c r="N16" s="55"/>
      <c r="O16" s="55"/>
      <c r="P16" s="80"/>
      <c r="Q16" s="80"/>
      <c r="R16" s="80"/>
      <c r="S16" s="80"/>
      <c r="T16" s="81"/>
      <c r="U16" s="82"/>
      <c r="V16" s="83" t="str">
        <f aca="false">IFERROR(IF(P16="","",K16),"")</f>
        <v/>
      </c>
      <c r="W16" s="83" t="str">
        <f aca="false">IFERROR(IF(U16="","",U16),"")</f>
        <v/>
      </c>
      <c r="X16" s="84"/>
      <c r="Y16" s="85"/>
      <c r="Z16" s="48"/>
      <c r="AA16" s="48"/>
    </row>
    <row r="17" customFormat="false" ht="15" hidden="false" customHeight="false" outlineLevel="0" collapsed="false">
      <c r="A17" s="48"/>
      <c r="B17" s="49"/>
      <c r="C17" s="49"/>
      <c r="D17" s="49"/>
      <c r="E17" s="49"/>
      <c r="F17" s="48"/>
      <c r="G17" s="49"/>
      <c r="H17" s="49"/>
      <c r="I17" s="49"/>
      <c r="J17" s="49"/>
      <c r="K17" s="49"/>
      <c r="L17" s="49"/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8"/>
      <c r="Z17" s="48"/>
      <c r="AA17" s="48"/>
    </row>
    <row r="18" customFormat="false" ht="15" hidden="false" customHeight="false" outlineLevel="0" collapsed="false">
      <c r="A18" s="88" t="s">
        <v>75</v>
      </c>
      <c r="B18" s="49"/>
      <c r="C18" s="49"/>
      <c r="D18" s="49"/>
      <c r="E18" s="49"/>
      <c r="F18" s="48"/>
      <c r="G18" s="49"/>
      <c r="H18" s="49"/>
      <c r="I18" s="49"/>
      <c r="J18" s="49"/>
      <c r="K18" s="49"/>
      <c r="L18" s="49"/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8"/>
      <c r="Z18" s="48"/>
      <c r="AA18" s="48"/>
    </row>
    <row r="19" customFormat="false" ht="15" hidden="false" customHeight="false" outlineLevel="0" collapsed="false">
      <c r="A19" s="65" t="s">
        <v>76</v>
      </c>
      <c r="B19" s="49"/>
      <c r="C19" s="49"/>
      <c r="D19" s="49"/>
      <c r="E19" s="49"/>
      <c r="F19" s="48"/>
      <c r="G19" s="67"/>
      <c r="H19" s="49"/>
      <c r="I19" s="49"/>
      <c r="J19" s="49"/>
      <c r="K19" s="49"/>
      <c r="L19" s="49"/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8"/>
      <c r="Z19" s="48"/>
      <c r="AA19" s="48"/>
    </row>
    <row r="20" customFormat="false" ht="15" hidden="false" customHeight="false" outlineLevel="0" collapsed="false">
      <c r="A20" s="68"/>
      <c r="B20" s="49"/>
      <c r="C20" s="49"/>
      <c r="D20" s="49"/>
      <c r="E20" s="49"/>
      <c r="F20" s="48"/>
      <c r="G20" s="49"/>
      <c r="H20" s="49"/>
      <c r="I20" s="49"/>
      <c r="J20" s="49"/>
      <c r="K20" s="49"/>
      <c r="L20" s="49"/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8"/>
      <c r="Z20" s="48"/>
      <c r="AA20" s="48"/>
    </row>
    <row r="21" customFormat="false" ht="15" hidden="false" customHeight="false" outlineLevel="0" collapsed="false">
      <c r="A21" s="68"/>
      <c r="B21" s="49"/>
      <c r="C21" s="49"/>
      <c r="D21" s="49"/>
      <c r="E21" s="49"/>
      <c r="F21" s="48"/>
      <c r="G21" s="49"/>
      <c r="H21" s="49"/>
      <c r="I21" s="49"/>
      <c r="J21" s="49"/>
      <c r="K21" s="49"/>
      <c r="L21" s="49"/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8"/>
      <c r="Z21" s="48"/>
      <c r="AA21" s="48"/>
    </row>
    <row r="22" customFormat="false" ht="15" hidden="false" customHeight="false" outlineLevel="0" collapsed="false">
      <c r="A22" s="68"/>
      <c r="B22" s="49"/>
      <c r="C22" s="49"/>
      <c r="D22" s="49"/>
      <c r="E22" s="49"/>
      <c r="F22" s="48"/>
      <c r="G22" s="49"/>
      <c r="H22" s="49"/>
      <c r="I22" s="49"/>
      <c r="J22" s="70"/>
      <c r="K22" s="70"/>
      <c r="L22" s="49"/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8"/>
      <c r="Z22" s="48"/>
      <c r="AA22" s="48"/>
    </row>
    <row r="23" customFormat="false" ht="15" hidden="false" customHeight="false" outlineLevel="0" collapsed="false">
      <c r="A23" s="68"/>
      <c r="B23" s="68"/>
      <c r="C23" s="49"/>
      <c r="D23" s="49"/>
      <c r="E23" s="49"/>
      <c r="F23" s="48"/>
      <c r="G23" s="49"/>
      <c r="H23" s="49"/>
      <c r="I23" s="49"/>
      <c r="J23" s="70"/>
      <c r="K23" s="70"/>
      <c r="L23" s="49"/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8"/>
      <c r="Z23" s="48"/>
      <c r="AA23" s="48"/>
    </row>
    <row r="24" customFormat="false" ht="15" hidden="false" customHeight="false" outlineLevel="0" collapsed="false">
      <c r="A24" s="48"/>
      <c r="B24" s="89"/>
      <c r="C24" s="49"/>
      <c r="D24" s="49"/>
      <c r="E24" s="49"/>
      <c r="F24" s="48"/>
      <c r="G24" s="49"/>
      <c r="H24" s="49"/>
      <c r="I24" s="63"/>
      <c r="J24" s="49"/>
      <c r="K24" s="49"/>
      <c r="L24" s="49"/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8"/>
      <c r="Z24" s="48"/>
      <c r="AA24" s="48"/>
    </row>
    <row r="25" customFormat="false" ht="15" hidden="false" customHeight="false" outlineLevel="0" collapsed="false">
      <c r="A25" s="48"/>
      <c r="B25" s="49"/>
      <c r="C25" s="49"/>
      <c r="D25" s="49"/>
      <c r="E25" s="49"/>
      <c r="F25" s="48"/>
      <c r="G25" s="49"/>
      <c r="H25" s="49"/>
      <c r="I25" s="49"/>
      <c r="J25" s="49"/>
      <c r="K25" s="49"/>
      <c r="L25" s="49"/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8"/>
      <c r="Z25" s="48"/>
      <c r="AA25" s="48"/>
    </row>
    <row r="26" customFormat="false" ht="15" hidden="false" customHeight="false" outlineLevel="0" collapsed="false">
      <c r="A26" s="48"/>
      <c r="B26" s="49"/>
      <c r="C26" s="49"/>
      <c r="D26" s="49"/>
      <c r="E26" s="49"/>
      <c r="F26" s="48"/>
      <c r="G26" s="49"/>
      <c r="H26" s="49"/>
      <c r="I26" s="49"/>
      <c r="J26" s="49"/>
      <c r="K26" s="49"/>
      <c r="L26" s="49"/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8"/>
      <c r="Z26" s="48"/>
      <c r="AA26" s="48"/>
    </row>
  </sheetData>
  <mergeCells count="5">
    <mergeCell ref="V1:X1"/>
    <mergeCell ref="B3:C3"/>
    <mergeCell ref="D3:E3"/>
    <mergeCell ref="B12:C12"/>
    <mergeCell ref="D12:E12"/>
  </mergeCells>
  <dataValidations count="2">
    <dataValidation allowBlank="true" errorStyle="stop" operator="between" showDropDown="false" showErrorMessage="true" showInputMessage="true" sqref="T3:T16" type="list">
      <formula1>"Mat,Pat"</formula1>
      <formula2>0</formula2>
    </dataValidation>
    <dataValidation allowBlank="true" errorStyle="stop" operator="between" showDropDown="false" showErrorMessage="true" showInputMessage="true" sqref="U3:U16" type="list">
      <formula1>"Normal,Carrier,Affected,Abnormal,Undetermined"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29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6.85"/>
  </cols>
  <sheetData>
    <row r="1" customFormat="false" ht="15" hidden="false" customHeight="false" outlineLevel="0" collapsed="false">
      <c r="A1" s="90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</row>
    <row r="2" customFormat="false" ht="15" hidden="false" customHeight="false" outlineLevel="0" collapsed="false">
      <c r="A2" s="92" t="s">
        <v>98</v>
      </c>
      <c r="B2" s="93"/>
      <c r="C2" s="94"/>
      <c r="D2" s="94"/>
      <c r="E2" s="92" t="s">
        <v>99</v>
      </c>
      <c r="F2" s="95" t="s">
        <v>100</v>
      </c>
      <c r="G2" s="94"/>
      <c r="H2" s="91"/>
      <c r="I2" s="96" t="s">
        <v>101</v>
      </c>
      <c r="J2" s="97"/>
      <c r="K2" s="94"/>
      <c r="L2" s="94"/>
      <c r="M2" s="94" t="s">
        <v>102</v>
      </c>
      <c r="N2" s="94"/>
    </row>
    <row r="3" customFormat="false" ht="15" hidden="false" customHeight="false" outlineLevel="0" collapsed="false">
      <c r="A3" s="92" t="s">
        <v>103</v>
      </c>
      <c r="B3" s="93"/>
      <c r="C3" s="91"/>
      <c r="D3" s="91"/>
      <c r="E3" s="91"/>
      <c r="F3" s="91"/>
      <c r="G3" s="91"/>
      <c r="H3" s="91"/>
      <c r="I3" s="91"/>
      <c r="J3" s="91"/>
      <c r="K3" s="91"/>
      <c r="L3" s="91"/>
      <c r="M3" s="98" t="n">
        <v>1</v>
      </c>
      <c r="N3" s="99" t="s">
        <v>104</v>
      </c>
    </row>
    <row r="4" customFormat="false" ht="15" hidden="false" customHeight="false" outlineLevel="0" collapsed="false">
      <c r="A4" s="100" t="s">
        <v>105</v>
      </c>
      <c r="B4" s="93"/>
      <c r="C4" s="91"/>
      <c r="D4" s="101" t="s">
        <v>106</v>
      </c>
      <c r="E4" s="91"/>
      <c r="F4" s="91"/>
      <c r="G4" s="91"/>
      <c r="H4" s="91"/>
      <c r="I4" s="91"/>
      <c r="J4" s="91"/>
      <c r="K4" s="91"/>
      <c r="L4" s="91"/>
      <c r="M4" s="98" t="n">
        <v>2</v>
      </c>
      <c r="N4" s="99" t="s">
        <v>107</v>
      </c>
    </row>
    <row r="5" customFormat="false" ht="15" hidden="false" customHeight="false" outlineLevel="0" collapsed="false">
      <c r="A5" s="92" t="s">
        <v>108</v>
      </c>
      <c r="B5" s="102"/>
      <c r="C5" s="91"/>
      <c r="D5" s="91"/>
      <c r="E5" s="91"/>
      <c r="F5" s="91"/>
      <c r="G5" s="91"/>
      <c r="H5" s="91"/>
      <c r="I5" s="91"/>
      <c r="J5" s="91"/>
      <c r="K5" s="91"/>
      <c r="L5" s="91"/>
      <c r="M5" s="103" t="n">
        <v>3</v>
      </c>
      <c r="N5" s="104" t="s">
        <v>109</v>
      </c>
    </row>
    <row r="6" customFormat="false" ht="15" hidden="false" customHeight="false" outlineLevel="0" collapsed="false">
      <c r="A6" s="91"/>
      <c r="B6" s="91"/>
      <c r="C6" s="91"/>
      <c r="D6" s="105" t="s">
        <v>110</v>
      </c>
      <c r="E6" s="91"/>
      <c r="F6" s="91"/>
      <c r="G6" s="91"/>
      <c r="H6" s="91"/>
      <c r="I6" s="91"/>
      <c r="J6" s="91"/>
      <c r="K6" s="91"/>
      <c r="L6" s="91"/>
      <c r="M6" s="106" t="n">
        <v>4</v>
      </c>
      <c r="N6" s="107" t="s">
        <v>111</v>
      </c>
    </row>
    <row r="7" customFormat="false" ht="15" hidden="false" customHeight="false" outlineLevel="0" collapsed="false">
      <c r="A7" s="92" t="s">
        <v>112</v>
      </c>
      <c r="B7" s="93"/>
      <c r="C7" s="91"/>
      <c r="D7" s="108" t="s">
        <v>113</v>
      </c>
      <c r="E7" s="91"/>
      <c r="F7" s="91"/>
      <c r="G7" s="91"/>
      <c r="H7" s="91"/>
      <c r="I7" s="91"/>
      <c r="J7" s="91"/>
      <c r="K7" s="91"/>
      <c r="L7" s="91"/>
      <c r="M7" s="109"/>
      <c r="N7" s="91"/>
    </row>
    <row r="8" customFormat="false" ht="15" hidden="false" customHeight="false" outlineLevel="0" collapsed="false">
      <c r="A8" s="92" t="s">
        <v>114</v>
      </c>
      <c r="B8" s="93"/>
      <c r="C8" s="101"/>
      <c r="D8" s="101"/>
      <c r="E8" s="91"/>
      <c r="F8" s="91"/>
      <c r="G8" s="91"/>
      <c r="H8" s="101"/>
      <c r="I8" s="91"/>
      <c r="J8" s="91"/>
      <c r="K8" s="91"/>
      <c r="L8" s="91"/>
      <c r="M8" s="109"/>
      <c r="N8" s="91"/>
    </row>
    <row r="9" customFormat="false" ht="15" hidden="false" customHeight="true" outlineLevel="0" collapsed="false">
      <c r="A9" s="110"/>
      <c r="B9" s="91"/>
      <c r="C9" s="91"/>
      <c r="D9" s="111" t="s">
        <v>115</v>
      </c>
      <c r="E9" s="111"/>
      <c r="F9" s="111"/>
      <c r="G9" s="91"/>
      <c r="H9" s="112" t="s">
        <v>116</v>
      </c>
      <c r="I9" s="112"/>
      <c r="J9" s="112"/>
      <c r="K9" s="113" t="s">
        <v>117</v>
      </c>
      <c r="L9" s="91"/>
      <c r="M9" s="109"/>
      <c r="N9" s="91"/>
    </row>
    <row r="10" customFormat="false" ht="15" hidden="false" customHeight="true" outlineLevel="0" collapsed="false">
      <c r="A10" s="114" t="s">
        <v>118</v>
      </c>
      <c r="B10" s="114"/>
      <c r="C10" s="114"/>
      <c r="D10" s="115" t="s">
        <v>119</v>
      </c>
      <c r="E10" s="116" t="s">
        <v>120</v>
      </c>
      <c r="F10" s="117" t="s">
        <v>79</v>
      </c>
      <c r="G10" s="91"/>
      <c r="H10" s="115" t="s">
        <v>119</v>
      </c>
      <c r="I10" s="116" t="s">
        <v>120</v>
      </c>
      <c r="J10" s="117" t="s">
        <v>79</v>
      </c>
      <c r="K10" s="113"/>
      <c r="L10" s="91"/>
      <c r="M10" s="91"/>
      <c r="N10" s="91"/>
    </row>
    <row r="11" customFormat="false" ht="15" hidden="false" customHeight="false" outlineLevel="0" collapsed="false">
      <c r="A11" s="118"/>
      <c r="B11" s="118"/>
      <c r="C11" s="118"/>
      <c r="D11" s="119"/>
      <c r="E11" s="120"/>
      <c r="F11" s="121"/>
      <c r="G11" s="91"/>
      <c r="H11" s="119"/>
      <c r="I11" s="120"/>
      <c r="J11" s="121"/>
      <c r="K11" s="122"/>
      <c r="L11" s="91"/>
      <c r="M11" s="91"/>
      <c r="N11" s="91"/>
    </row>
    <row r="12" customFormat="false" ht="15" hidden="false" customHeight="false" outlineLevel="0" collapsed="false">
      <c r="A12" s="123"/>
      <c r="B12" s="123"/>
      <c r="C12" s="123"/>
      <c r="D12" s="124"/>
      <c r="E12" s="125"/>
      <c r="F12" s="126"/>
      <c r="G12" s="91"/>
      <c r="H12" s="124"/>
      <c r="I12" s="125"/>
      <c r="J12" s="126"/>
      <c r="K12" s="127"/>
      <c r="L12" s="91"/>
      <c r="M12" s="91"/>
      <c r="N12" s="91"/>
    </row>
    <row r="13" customFormat="false" ht="15" hidden="false" customHeight="false" outlineLevel="0" collapsed="false">
      <c r="A13" s="123"/>
      <c r="B13" s="123"/>
      <c r="C13" s="123"/>
      <c r="D13" s="124"/>
      <c r="E13" s="125"/>
      <c r="F13" s="126"/>
      <c r="G13" s="91"/>
      <c r="H13" s="124"/>
      <c r="I13" s="125"/>
      <c r="J13" s="126"/>
      <c r="K13" s="127"/>
      <c r="L13" s="91"/>
      <c r="M13" s="91"/>
      <c r="N13" s="91"/>
    </row>
    <row r="14" customFormat="false" ht="15" hidden="false" customHeight="false" outlineLevel="0" collapsed="false">
      <c r="A14" s="123"/>
      <c r="B14" s="123"/>
      <c r="C14" s="123"/>
      <c r="D14" s="124"/>
      <c r="E14" s="125"/>
      <c r="F14" s="126"/>
      <c r="G14" s="91"/>
      <c r="H14" s="124"/>
      <c r="I14" s="125"/>
      <c r="J14" s="126"/>
      <c r="K14" s="127"/>
      <c r="L14" s="91"/>
      <c r="M14" s="91"/>
      <c r="N14" s="91"/>
    </row>
    <row r="15" customFormat="false" ht="15" hidden="false" customHeight="false" outlineLevel="0" collapsed="false">
      <c r="A15" s="123"/>
      <c r="B15" s="123"/>
      <c r="C15" s="123"/>
      <c r="D15" s="124"/>
      <c r="E15" s="125"/>
      <c r="F15" s="126"/>
      <c r="G15" s="91"/>
      <c r="H15" s="124"/>
      <c r="I15" s="125"/>
      <c r="J15" s="126"/>
      <c r="K15" s="127"/>
      <c r="L15" s="91"/>
      <c r="M15" s="91"/>
      <c r="N15" s="91"/>
    </row>
    <row r="16" customFormat="false" ht="15" hidden="false" customHeight="false" outlineLevel="0" collapsed="false">
      <c r="A16" s="123"/>
      <c r="B16" s="123"/>
      <c r="C16" s="123"/>
      <c r="D16" s="124"/>
      <c r="E16" s="125"/>
      <c r="F16" s="126"/>
      <c r="G16" s="91"/>
      <c r="H16" s="124"/>
      <c r="I16" s="125"/>
      <c r="J16" s="126"/>
      <c r="K16" s="127"/>
      <c r="L16" s="91"/>
      <c r="M16" s="91"/>
      <c r="N16" s="91"/>
    </row>
    <row r="17" customFormat="false" ht="15" hidden="false" customHeight="false" outlineLevel="0" collapsed="false">
      <c r="A17" s="123"/>
      <c r="B17" s="123"/>
      <c r="C17" s="123"/>
      <c r="D17" s="124"/>
      <c r="E17" s="125"/>
      <c r="F17" s="126"/>
      <c r="G17" s="91"/>
      <c r="H17" s="124"/>
      <c r="I17" s="125"/>
      <c r="J17" s="126"/>
      <c r="K17" s="127"/>
      <c r="L17" s="91"/>
      <c r="M17" s="91"/>
      <c r="N17" s="91"/>
    </row>
    <row r="18" customFormat="false" ht="15" hidden="false" customHeight="false" outlineLevel="0" collapsed="false">
      <c r="A18" s="123"/>
      <c r="B18" s="123"/>
      <c r="C18" s="123"/>
      <c r="D18" s="124"/>
      <c r="E18" s="125"/>
      <c r="F18" s="126"/>
      <c r="G18" s="91"/>
      <c r="H18" s="124"/>
      <c r="I18" s="125"/>
      <c r="J18" s="126"/>
      <c r="K18" s="127"/>
      <c r="L18" s="91"/>
      <c r="M18" s="91"/>
      <c r="N18" s="91"/>
    </row>
    <row r="19" customFormat="false" ht="15" hidden="false" customHeight="false" outlineLevel="0" collapsed="false">
      <c r="A19" s="123"/>
      <c r="B19" s="123"/>
      <c r="C19" s="123"/>
      <c r="D19" s="124"/>
      <c r="E19" s="125"/>
      <c r="F19" s="126"/>
      <c r="G19" s="91"/>
      <c r="H19" s="124"/>
      <c r="I19" s="125"/>
      <c r="J19" s="126"/>
      <c r="K19" s="127"/>
      <c r="L19" s="91"/>
      <c r="M19" s="91"/>
      <c r="N19" s="91"/>
    </row>
    <row r="20" customFormat="false" ht="15" hidden="false" customHeight="false" outlineLevel="0" collapsed="false">
      <c r="A20" s="128"/>
      <c r="B20" s="128"/>
      <c r="C20" s="128"/>
      <c r="D20" s="129"/>
      <c r="E20" s="130"/>
      <c r="F20" s="131"/>
      <c r="G20" s="91"/>
      <c r="H20" s="129"/>
      <c r="I20" s="130"/>
      <c r="J20" s="131"/>
      <c r="K20" s="132"/>
      <c r="L20" s="91"/>
      <c r="M20" s="91"/>
      <c r="N20" s="91"/>
    </row>
    <row r="21" customFormat="false" ht="15" hidden="false" customHeight="false" outlineLevel="0" collapsed="false">
      <c r="A21" s="133" t="s">
        <v>121</v>
      </c>
      <c r="B21" s="134" t="s">
        <v>122</v>
      </c>
      <c r="C21" s="134"/>
      <c r="D21" s="135"/>
      <c r="E21" s="136"/>
      <c r="F21" s="137"/>
      <c r="G21" s="91"/>
      <c r="H21" s="135"/>
      <c r="I21" s="136"/>
      <c r="J21" s="137"/>
      <c r="K21" s="91"/>
      <c r="L21" s="91"/>
      <c r="M21" s="91"/>
      <c r="N21" s="91"/>
    </row>
    <row r="22" customFormat="false" ht="15" hidden="false" customHeight="false" outlineLevel="0" collapsed="false">
      <c r="A22" s="138" t="s">
        <v>123</v>
      </c>
      <c r="B22" s="138"/>
      <c r="C22" s="138"/>
      <c r="D22" s="139"/>
      <c r="E22" s="140"/>
      <c r="F22" s="141"/>
      <c r="G22" s="91"/>
      <c r="H22" s="139"/>
      <c r="I22" s="140"/>
      <c r="J22" s="141"/>
      <c r="K22" s="91"/>
      <c r="L22" s="91"/>
      <c r="M22" s="91"/>
      <c r="N22" s="91"/>
    </row>
    <row r="23" customFormat="false" ht="15" hidden="false" customHeight="false" outlineLevel="0" collapsed="false">
      <c r="A23" s="91"/>
      <c r="B23" s="91"/>
      <c r="C23" s="91"/>
      <c r="D23" s="91"/>
      <c r="E23" s="91"/>
      <c r="F23" s="91"/>
      <c r="G23" s="91"/>
      <c r="H23" s="91"/>
      <c r="I23" s="91"/>
      <c r="J23" s="91"/>
      <c r="K23" s="91"/>
      <c r="L23" s="91"/>
      <c r="M23" s="91"/>
      <c r="N23" s="91"/>
    </row>
    <row r="24" customFormat="false" ht="15" hidden="false" customHeight="false" outlineLevel="0" collapsed="false">
      <c r="A24" s="91"/>
      <c r="B24" s="91"/>
      <c r="C24" s="91"/>
      <c r="D24" s="92" t="s">
        <v>124</v>
      </c>
      <c r="E24" s="142"/>
      <c r="F24" s="91"/>
      <c r="G24" s="91"/>
      <c r="H24" s="92" t="s">
        <v>124</v>
      </c>
      <c r="I24" s="142"/>
      <c r="J24" s="92" t="s">
        <v>125</v>
      </c>
      <c r="K24" s="142"/>
      <c r="L24" s="91"/>
      <c r="M24" s="91"/>
      <c r="N24" s="91"/>
    </row>
    <row r="25" customFormat="false" ht="15" hidden="false" customHeight="false" outlineLevel="0" collapsed="false">
      <c r="A25" s="91"/>
      <c r="B25" s="91"/>
      <c r="C25" s="91"/>
      <c r="D25" s="92" t="s">
        <v>126</v>
      </c>
      <c r="E25" s="142"/>
      <c r="F25" s="91"/>
      <c r="G25" s="91"/>
      <c r="H25" s="92" t="s">
        <v>126</v>
      </c>
      <c r="I25" s="142"/>
      <c r="J25" s="92" t="s">
        <v>126</v>
      </c>
      <c r="K25" s="142"/>
      <c r="L25" s="91"/>
      <c r="M25" s="91"/>
      <c r="N25" s="91"/>
    </row>
    <row r="26" customFormat="false" ht="15" hidden="false" customHeight="false" outlineLevel="0" collapsed="false">
      <c r="A26" s="91"/>
      <c r="B26" s="91"/>
      <c r="C26" s="91"/>
      <c r="D26" s="143"/>
      <c r="E26" s="109"/>
      <c r="F26" s="91"/>
      <c r="G26" s="91"/>
      <c r="H26" s="143"/>
      <c r="I26" s="109"/>
      <c r="J26" s="109"/>
      <c r="K26" s="91"/>
      <c r="L26" s="91"/>
      <c r="M26" s="91"/>
      <c r="N26" s="91"/>
    </row>
    <row r="27" customFormat="false" ht="15" hidden="false" customHeight="false" outlineLevel="0" collapsed="false">
      <c r="A27" s="91"/>
      <c r="B27" s="91"/>
      <c r="C27" s="91"/>
      <c r="D27" s="92" t="s">
        <v>127</v>
      </c>
      <c r="E27" s="144"/>
      <c r="F27" s="91"/>
      <c r="G27" s="91"/>
      <c r="H27" s="143"/>
      <c r="I27" s="109"/>
      <c r="J27" s="145"/>
      <c r="K27" s="91"/>
      <c r="L27" s="91"/>
      <c r="M27" s="91"/>
      <c r="N27" s="91"/>
    </row>
    <row r="28" customFormat="false" ht="15" hidden="false" customHeight="false" outlineLevel="0" collapsed="false">
      <c r="A28" s="91"/>
      <c r="B28" s="91"/>
      <c r="C28" s="91"/>
      <c r="D28" s="92" t="s">
        <v>126</v>
      </c>
      <c r="E28" s="142"/>
      <c r="F28" s="91"/>
      <c r="G28" s="91"/>
      <c r="H28" s="143"/>
      <c r="I28" s="109"/>
      <c r="J28" s="145"/>
      <c r="K28" s="91"/>
      <c r="L28" s="91"/>
      <c r="M28" s="91"/>
      <c r="N28" s="91"/>
    </row>
    <row r="29" customFormat="false" ht="15" hidden="false" customHeight="false" outlineLevel="0" collapsed="false">
      <c r="A29" s="91"/>
      <c r="B29" s="91"/>
      <c r="C29" s="91"/>
      <c r="D29" s="91"/>
      <c r="E29" s="91"/>
      <c r="F29" s="91"/>
      <c r="G29" s="91"/>
      <c r="H29" s="143"/>
      <c r="I29" s="109"/>
      <c r="J29" s="91"/>
      <c r="K29" s="91"/>
      <c r="L29" s="91"/>
      <c r="M29" s="91"/>
      <c r="N29" s="91"/>
    </row>
  </sheetData>
  <mergeCells count="16">
    <mergeCell ref="D9:F9"/>
    <mergeCell ref="H9:J9"/>
    <mergeCell ref="K9:K10"/>
    <mergeCell ref="A10:C10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B21:C21"/>
    <mergeCell ref="A22:C22"/>
  </mergeCells>
  <conditionalFormatting sqref="K12">
    <cfRule type="containsText" priority="2" operator="containsText" aboveAverage="0" equalAverage="0" bottom="0" percent="0" rank="0" text="No" dxfId="2">
      <formula>NOT(ISERROR(SEARCH("No",K12)))</formula>
    </cfRule>
    <cfRule type="containsText" priority="3" operator="containsText" aboveAverage="0" equalAverage="0" bottom="0" percent="0" rank="0" text="Yes" dxfId="3">
      <formula>NOT(ISERROR(SEARCH("Yes",K12)))</formula>
    </cfRule>
  </conditionalFormatting>
  <conditionalFormatting sqref="K13:K20">
    <cfRule type="containsText" priority="4" operator="containsText" aboveAverage="0" equalAverage="0" bottom="0" percent="0" rank="0" text="No" dxfId="4">
      <formula>NOT(ISERROR(SEARCH("No",K13)))</formula>
    </cfRule>
    <cfRule type="containsText" priority="5" operator="containsText" aboveAverage="0" equalAverage="0" bottom="0" percent="0" rank="0" text="Yes" dxfId="5">
      <formula>NOT(ISERROR(SEARCH("Yes",K13)))</formula>
    </cfRule>
  </conditionalFormatting>
  <conditionalFormatting sqref="K11">
    <cfRule type="containsText" priority="6" operator="containsText" aboveAverage="0" equalAverage="0" bottom="0" percent="0" rank="0" text="No" dxfId="6">
      <formula>NOT(ISERROR(SEARCH("No",K11)))</formula>
    </cfRule>
    <cfRule type="containsText" priority="7" operator="containsText" aboveAverage="0" equalAverage="0" bottom="0" percent="0" rank="0" text="Yes" dxfId="7">
      <formula>NOT(ISERROR(SEARCH("Yes",K11)))</formula>
    </cfRule>
  </conditionalFormatting>
  <dataValidations count="2">
    <dataValidation allowBlank="true" errorStyle="stop" operator="between" showDropDown="false" showErrorMessage="true" showInputMessage="true" sqref="E11:E22 I11:I22" type="list">
      <formula1>"0,1,2"</formula1>
      <formula2>0</formula2>
    </dataValidation>
    <dataValidation allowBlank="true" errorStyle="stop" operator="between" showDropDown="false" showErrorMessage="true" showInputMessage="true" sqref="K11:K20" type="list">
      <formula1>"Yes,No"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N3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7.14"/>
    <col collapsed="false" customWidth="true" hidden="false" outlineLevel="0" max="2" min="2" style="0" width="17.57"/>
    <col collapsed="false" customWidth="true" hidden="false" outlineLevel="0" max="3" min="3" style="0" width="11.14"/>
    <col collapsed="false" customWidth="true" hidden="false" outlineLevel="0" max="6" min="6" style="0" width="14"/>
    <col collapsed="false" customWidth="true" hidden="false" outlineLevel="0" max="10" min="10" style="0" width="12.43"/>
  </cols>
  <sheetData>
    <row r="1" customFormat="false" ht="15" hidden="false" customHeight="false" outlineLevel="0" collapsed="false">
      <c r="A1" s="90"/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</row>
    <row r="2" customFormat="false" ht="15" hidden="false" customHeight="false" outlineLevel="0" collapsed="false">
      <c r="A2" s="92" t="s">
        <v>98</v>
      </c>
      <c r="B2" s="93"/>
      <c r="C2" s="94"/>
      <c r="D2" s="94"/>
      <c r="E2" s="92" t="s">
        <v>128</v>
      </c>
      <c r="F2" s="95" t="s">
        <v>100</v>
      </c>
      <c r="G2" s="94"/>
      <c r="H2" s="96" t="s">
        <v>101</v>
      </c>
      <c r="I2" s="96"/>
      <c r="J2" s="91"/>
      <c r="K2" s="94"/>
      <c r="L2" s="94"/>
      <c r="M2" s="94" t="s">
        <v>102</v>
      </c>
      <c r="N2" s="94"/>
    </row>
    <row r="3" customFormat="false" ht="15" hidden="false" customHeight="false" outlineLevel="0" collapsed="false">
      <c r="A3" s="92" t="s">
        <v>103</v>
      </c>
      <c r="B3" s="93"/>
      <c r="C3" s="91"/>
      <c r="D3" s="91"/>
      <c r="E3" s="91"/>
      <c r="F3" s="91"/>
      <c r="G3" s="91"/>
      <c r="H3" s="91"/>
      <c r="I3" s="91"/>
      <c r="J3" s="91"/>
      <c r="K3" s="91"/>
      <c r="L3" s="91"/>
      <c r="M3" s="98" t="n">
        <v>1</v>
      </c>
      <c r="N3" s="99" t="s">
        <v>104</v>
      </c>
    </row>
    <row r="4" customFormat="false" ht="15" hidden="false" customHeight="false" outlineLevel="0" collapsed="false">
      <c r="A4" s="100" t="s">
        <v>105</v>
      </c>
      <c r="B4" s="93"/>
      <c r="C4" s="91"/>
      <c r="D4" s="101"/>
      <c r="E4" s="91"/>
      <c r="F4" s="91"/>
      <c r="G4" s="91"/>
      <c r="H4" s="91"/>
      <c r="I4" s="91"/>
      <c r="J4" s="91"/>
      <c r="K4" s="91"/>
      <c r="L4" s="91"/>
      <c r="M4" s="98" t="n">
        <v>2</v>
      </c>
      <c r="N4" s="99" t="s">
        <v>107</v>
      </c>
    </row>
    <row r="5" customFormat="false" ht="15" hidden="false" customHeight="false" outlineLevel="0" collapsed="false">
      <c r="A5" s="92" t="s">
        <v>108</v>
      </c>
      <c r="B5" s="102"/>
      <c r="C5" s="91"/>
      <c r="D5" s="91"/>
      <c r="E5" s="91"/>
      <c r="F5" s="91"/>
      <c r="G5" s="91"/>
      <c r="H5" s="91"/>
      <c r="I5" s="91"/>
      <c r="J5" s="91"/>
      <c r="K5" s="91"/>
      <c r="L5" s="91"/>
      <c r="M5" s="103" t="n">
        <v>3</v>
      </c>
      <c r="N5" s="104" t="s">
        <v>109</v>
      </c>
    </row>
    <row r="6" customFormat="false" ht="15" hidden="false" customHeight="false" outlineLevel="0" collapsed="false">
      <c r="A6" s="91"/>
      <c r="B6" s="91"/>
      <c r="C6" s="91"/>
      <c r="D6" s="105" t="s">
        <v>129</v>
      </c>
      <c r="E6" s="91"/>
      <c r="F6" s="91"/>
      <c r="G6" s="91"/>
      <c r="H6" s="91"/>
      <c r="I6" s="91"/>
      <c r="J6" s="91"/>
      <c r="K6" s="91"/>
      <c r="L6" s="91"/>
      <c r="M6" s="106" t="n">
        <v>4</v>
      </c>
      <c r="N6" s="107" t="s">
        <v>111</v>
      </c>
    </row>
    <row r="7" customFormat="false" ht="15" hidden="false" customHeight="false" outlineLevel="0" collapsed="false">
      <c r="A7" s="92" t="s">
        <v>112</v>
      </c>
      <c r="B7" s="93"/>
      <c r="C7" s="91"/>
      <c r="D7" s="108"/>
      <c r="E7" s="91"/>
      <c r="F7" s="91"/>
      <c r="G7" s="91"/>
      <c r="H7" s="91"/>
      <c r="I7" s="91"/>
      <c r="J7" s="91"/>
      <c r="K7" s="91"/>
      <c r="L7" s="91"/>
      <c r="M7" s="109"/>
      <c r="N7" s="91"/>
    </row>
    <row r="8" customFormat="false" ht="15" hidden="false" customHeight="false" outlineLevel="0" collapsed="false">
      <c r="A8" s="92" t="s">
        <v>114</v>
      </c>
      <c r="B8" s="93"/>
      <c r="C8" s="101"/>
      <c r="D8" s="101"/>
      <c r="E8" s="91"/>
      <c r="F8" s="91"/>
      <c r="G8" s="91"/>
      <c r="H8" s="101"/>
      <c r="I8" s="91"/>
      <c r="J8" s="91"/>
      <c r="K8" s="91"/>
      <c r="L8" s="91"/>
      <c r="M8" s="109"/>
      <c r="N8" s="91"/>
    </row>
    <row r="9" customFormat="false" ht="15" hidden="false" customHeight="true" outlineLevel="0" collapsed="false">
      <c r="A9" s="110"/>
      <c r="B9" s="91"/>
      <c r="C9" s="91"/>
      <c r="D9" s="111" t="s">
        <v>115</v>
      </c>
      <c r="E9" s="111"/>
      <c r="F9" s="111"/>
      <c r="G9" s="91"/>
      <c r="H9" s="112" t="s">
        <v>116</v>
      </c>
      <c r="I9" s="112"/>
      <c r="J9" s="112"/>
      <c r="K9" s="113" t="s">
        <v>117</v>
      </c>
      <c r="L9" s="91"/>
      <c r="M9" s="109"/>
      <c r="N9" s="91"/>
    </row>
    <row r="10" customFormat="false" ht="15" hidden="false" customHeight="true" outlineLevel="0" collapsed="false">
      <c r="A10" s="114" t="s">
        <v>118</v>
      </c>
      <c r="B10" s="114"/>
      <c r="C10" s="114"/>
      <c r="D10" s="115" t="s">
        <v>119</v>
      </c>
      <c r="E10" s="116" t="s">
        <v>120</v>
      </c>
      <c r="F10" s="117" t="s">
        <v>79</v>
      </c>
      <c r="G10" s="91"/>
      <c r="H10" s="115" t="s">
        <v>119</v>
      </c>
      <c r="I10" s="116" t="s">
        <v>120</v>
      </c>
      <c r="J10" s="117" t="s">
        <v>79</v>
      </c>
      <c r="K10" s="113"/>
      <c r="L10" s="91"/>
      <c r="M10" s="91"/>
      <c r="N10" s="91"/>
    </row>
    <row r="11" customFormat="false" ht="15" hidden="false" customHeight="false" outlineLevel="0" collapsed="false">
      <c r="A11" s="118"/>
      <c r="B11" s="118"/>
      <c r="C11" s="118"/>
      <c r="D11" s="119"/>
      <c r="E11" s="120"/>
      <c r="F11" s="121"/>
      <c r="G11" s="91"/>
      <c r="H11" s="119"/>
      <c r="I11" s="120"/>
      <c r="J11" s="121"/>
      <c r="K11" s="122"/>
      <c r="L11" s="91"/>
      <c r="M11" s="91"/>
      <c r="N11" s="91"/>
    </row>
    <row r="12" customFormat="false" ht="15" hidden="false" customHeight="false" outlineLevel="0" collapsed="false">
      <c r="A12" s="123"/>
      <c r="B12" s="123"/>
      <c r="C12" s="123"/>
      <c r="D12" s="124"/>
      <c r="E12" s="125"/>
      <c r="F12" s="126"/>
      <c r="G12" s="91"/>
      <c r="H12" s="124"/>
      <c r="I12" s="125"/>
      <c r="J12" s="126"/>
      <c r="K12" s="127"/>
      <c r="L12" s="91"/>
      <c r="M12" s="91"/>
      <c r="N12" s="91"/>
    </row>
    <row r="13" customFormat="false" ht="15" hidden="false" customHeight="false" outlineLevel="0" collapsed="false">
      <c r="A13" s="123"/>
      <c r="B13" s="123"/>
      <c r="C13" s="123"/>
      <c r="D13" s="124"/>
      <c r="E13" s="125"/>
      <c r="F13" s="126"/>
      <c r="G13" s="91"/>
      <c r="H13" s="124"/>
      <c r="I13" s="125"/>
      <c r="J13" s="126"/>
      <c r="K13" s="127"/>
      <c r="L13" s="91"/>
      <c r="M13" s="91"/>
      <c r="N13" s="91"/>
    </row>
    <row r="14" customFormat="false" ht="15" hidden="false" customHeight="false" outlineLevel="0" collapsed="false">
      <c r="A14" s="123"/>
      <c r="B14" s="123"/>
      <c r="C14" s="123"/>
      <c r="D14" s="124"/>
      <c r="E14" s="125"/>
      <c r="F14" s="126"/>
      <c r="G14" s="91"/>
      <c r="H14" s="124"/>
      <c r="I14" s="125"/>
      <c r="J14" s="126"/>
      <c r="K14" s="127"/>
      <c r="L14" s="91"/>
      <c r="M14" s="91"/>
      <c r="N14" s="91"/>
    </row>
    <row r="15" customFormat="false" ht="15" hidden="false" customHeight="false" outlineLevel="0" collapsed="false">
      <c r="A15" s="123"/>
      <c r="B15" s="123"/>
      <c r="C15" s="123"/>
      <c r="D15" s="124"/>
      <c r="E15" s="125"/>
      <c r="F15" s="126"/>
      <c r="G15" s="91"/>
      <c r="H15" s="124"/>
      <c r="I15" s="125"/>
      <c r="J15" s="126"/>
      <c r="K15" s="127"/>
      <c r="L15" s="91"/>
      <c r="M15" s="91"/>
      <c r="N15" s="91"/>
    </row>
    <row r="16" customFormat="false" ht="15" hidden="false" customHeight="false" outlineLevel="0" collapsed="false">
      <c r="A16" s="123"/>
      <c r="B16" s="123"/>
      <c r="C16" s="123"/>
      <c r="D16" s="124"/>
      <c r="E16" s="125"/>
      <c r="F16" s="126"/>
      <c r="G16" s="91"/>
      <c r="H16" s="124"/>
      <c r="I16" s="125"/>
      <c r="J16" s="126"/>
      <c r="K16" s="127"/>
      <c r="L16" s="91"/>
      <c r="M16" s="91"/>
      <c r="N16" s="91"/>
    </row>
    <row r="17" customFormat="false" ht="15" hidden="false" customHeight="false" outlineLevel="0" collapsed="false">
      <c r="A17" s="123"/>
      <c r="B17" s="123"/>
      <c r="C17" s="123"/>
      <c r="D17" s="124"/>
      <c r="E17" s="125"/>
      <c r="F17" s="126"/>
      <c r="G17" s="91"/>
      <c r="H17" s="124"/>
      <c r="I17" s="125"/>
      <c r="J17" s="126"/>
      <c r="K17" s="127"/>
      <c r="L17" s="91"/>
      <c r="M17" s="91"/>
      <c r="N17" s="91"/>
    </row>
    <row r="18" customFormat="false" ht="15" hidden="false" customHeight="false" outlineLevel="0" collapsed="false">
      <c r="A18" s="123"/>
      <c r="B18" s="123"/>
      <c r="C18" s="123"/>
      <c r="D18" s="124"/>
      <c r="E18" s="125"/>
      <c r="F18" s="126"/>
      <c r="G18" s="91"/>
      <c r="H18" s="124"/>
      <c r="I18" s="125"/>
      <c r="J18" s="126"/>
      <c r="K18" s="127"/>
      <c r="L18" s="91"/>
      <c r="M18" s="91"/>
      <c r="N18" s="91"/>
    </row>
    <row r="19" customFormat="false" ht="15" hidden="false" customHeight="false" outlineLevel="0" collapsed="false">
      <c r="A19" s="123"/>
      <c r="B19" s="123"/>
      <c r="C19" s="123"/>
      <c r="D19" s="124"/>
      <c r="E19" s="125"/>
      <c r="F19" s="126"/>
      <c r="G19" s="91"/>
      <c r="H19" s="124"/>
      <c r="I19" s="125"/>
      <c r="J19" s="126"/>
      <c r="K19" s="127"/>
      <c r="L19" s="91"/>
      <c r="M19" s="91"/>
      <c r="N19" s="91"/>
    </row>
    <row r="20" customFormat="false" ht="15" hidden="false" customHeight="false" outlineLevel="0" collapsed="false">
      <c r="A20" s="128"/>
      <c r="B20" s="128"/>
      <c r="C20" s="128"/>
      <c r="D20" s="129"/>
      <c r="E20" s="130"/>
      <c r="F20" s="131"/>
      <c r="G20" s="91"/>
      <c r="H20" s="129"/>
      <c r="I20" s="130"/>
      <c r="J20" s="131"/>
      <c r="K20" s="132"/>
      <c r="L20" s="91"/>
      <c r="M20" s="91"/>
      <c r="N20" s="91"/>
    </row>
    <row r="21" customFormat="false" ht="15" hidden="false" customHeight="false" outlineLevel="0" collapsed="false">
      <c r="A21" s="133" t="s">
        <v>130</v>
      </c>
      <c r="B21" s="134" t="s">
        <v>122</v>
      </c>
      <c r="C21" s="134"/>
      <c r="D21" s="135"/>
      <c r="E21" s="136"/>
      <c r="F21" s="137"/>
      <c r="G21" s="91"/>
      <c r="H21" s="135"/>
      <c r="I21" s="136"/>
      <c r="J21" s="137"/>
      <c r="K21" s="91"/>
      <c r="L21" s="91"/>
      <c r="M21" s="91"/>
      <c r="N21" s="91"/>
    </row>
    <row r="22" customFormat="false" ht="15" hidden="false" customHeight="false" outlineLevel="0" collapsed="false">
      <c r="A22" s="146" t="s">
        <v>131</v>
      </c>
      <c r="B22" s="147" t="s">
        <v>122</v>
      </c>
      <c r="C22" s="147"/>
      <c r="D22" s="119"/>
      <c r="E22" s="120"/>
      <c r="F22" s="121"/>
      <c r="G22" s="91"/>
      <c r="H22" s="119"/>
      <c r="I22" s="120"/>
      <c r="J22" s="121"/>
      <c r="K22" s="91"/>
      <c r="L22" s="91"/>
      <c r="M22" s="91"/>
      <c r="N22" s="91"/>
    </row>
    <row r="23" customFormat="false" ht="15" hidden="false" customHeight="false" outlineLevel="0" collapsed="false">
      <c r="A23" s="138" t="s">
        <v>123</v>
      </c>
      <c r="B23" s="138"/>
      <c r="C23" s="138"/>
      <c r="D23" s="139"/>
      <c r="E23" s="140"/>
      <c r="F23" s="141"/>
      <c r="G23" s="91"/>
      <c r="H23" s="139"/>
      <c r="I23" s="140"/>
      <c r="J23" s="141"/>
      <c r="K23" s="91"/>
      <c r="L23" s="91"/>
      <c r="M23" s="91"/>
      <c r="N23" s="91"/>
    </row>
    <row r="24" customFormat="false" ht="15" hidden="false" customHeight="false" outlineLevel="0" collapsed="false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</row>
    <row r="25" customFormat="false" ht="15" hidden="false" customHeight="false" outlineLevel="0" collapsed="false">
      <c r="A25" s="91"/>
      <c r="B25" s="91"/>
      <c r="C25" s="91"/>
      <c r="D25" s="92" t="s">
        <v>124</v>
      </c>
      <c r="E25" s="142"/>
      <c r="F25" s="91"/>
      <c r="G25" s="91"/>
      <c r="H25" s="92" t="s">
        <v>124</v>
      </c>
      <c r="I25" s="144"/>
      <c r="J25" s="92" t="s">
        <v>125</v>
      </c>
      <c r="K25" s="142"/>
      <c r="L25" s="91"/>
      <c r="M25" s="91"/>
      <c r="N25" s="91"/>
    </row>
    <row r="26" customFormat="false" ht="15" hidden="false" customHeight="false" outlineLevel="0" collapsed="false">
      <c r="A26" s="91"/>
      <c r="B26" s="91"/>
      <c r="C26" s="91"/>
      <c r="D26" s="92" t="s">
        <v>126</v>
      </c>
      <c r="E26" s="142"/>
      <c r="F26" s="91"/>
      <c r="G26" s="91"/>
      <c r="H26" s="92" t="s">
        <v>126</v>
      </c>
      <c r="I26" s="142"/>
      <c r="J26" s="92" t="s">
        <v>126</v>
      </c>
      <c r="K26" s="142"/>
      <c r="L26" s="91"/>
      <c r="M26" s="91"/>
      <c r="N26" s="91"/>
    </row>
    <row r="27" customFormat="false" ht="15" hidden="false" customHeight="false" outlineLevel="0" collapsed="false">
      <c r="A27" s="91"/>
      <c r="B27" s="91"/>
      <c r="C27" s="91"/>
      <c r="D27" s="143"/>
      <c r="E27" s="109"/>
      <c r="F27" s="91"/>
      <c r="G27" s="91"/>
      <c r="H27" s="143"/>
      <c r="I27" s="109"/>
      <c r="J27" s="109"/>
      <c r="K27" s="91"/>
      <c r="L27" s="91"/>
      <c r="M27" s="91"/>
      <c r="N27" s="91"/>
    </row>
    <row r="28" customFormat="false" ht="15" hidden="false" customHeight="false" outlineLevel="0" collapsed="false">
      <c r="A28" s="91"/>
      <c r="B28" s="91"/>
      <c r="C28" s="91"/>
      <c r="D28" s="92" t="s">
        <v>127</v>
      </c>
      <c r="E28" s="144"/>
      <c r="F28" s="91"/>
      <c r="G28" s="91"/>
      <c r="H28" s="143"/>
      <c r="I28" s="109"/>
      <c r="J28" s="145"/>
      <c r="K28" s="91"/>
      <c r="L28" s="91"/>
      <c r="M28" s="91"/>
      <c r="N28" s="91"/>
    </row>
    <row r="29" customFormat="false" ht="15" hidden="false" customHeight="false" outlineLevel="0" collapsed="false">
      <c r="A29" s="91"/>
      <c r="B29" s="91"/>
      <c r="C29" s="91"/>
      <c r="D29" s="92" t="s">
        <v>126</v>
      </c>
      <c r="E29" s="142"/>
      <c r="F29" s="91"/>
      <c r="G29" s="91"/>
      <c r="H29" s="143"/>
      <c r="I29" s="109"/>
      <c r="J29" s="145"/>
      <c r="K29" s="91"/>
      <c r="L29" s="91"/>
      <c r="M29" s="91"/>
      <c r="N29" s="91"/>
    </row>
    <row r="30" customFormat="false" ht="15" hidden="false" customHeight="false" outlineLevel="0" collapsed="false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</row>
  </sheetData>
  <mergeCells count="17">
    <mergeCell ref="D9:F9"/>
    <mergeCell ref="H9:J9"/>
    <mergeCell ref="K9:K10"/>
    <mergeCell ref="A10:C10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B21:C21"/>
    <mergeCell ref="B22:C22"/>
    <mergeCell ref="A23:C23"/>
  </mergeCells>
  <conditionalFormatting sqref="K12">
    <cfRule type="containsText" priority="2" operator="containsText" aboveAverage="0" equalAverage="0" bottom="0" percent="0" rank="0" text="No" dxfId="8">
      <formula>NOT(ISERROR(SEARCH("No",K12)))</formula>
    </cfRule>
    <cfRule type="containsText" priority="3" operator="containsText" aboveAverage="0" equalAverage="0" bottom="0" percent="0" rank="0" text="Yes" dxfId="9">
      <formula>NOT(ISERROR(SEARCH("Yes",K12)))</formula>
    </cfRule>
  </conditionalFormatting>
  <conditionalFormatting sqref="K13:K20">
    <cfRule type="containsText" priority="4" operator="containsText" aboveAverage="0" equalAverage="0" bottom="0" percent="0" rank="0" text="No" dxfId="10">
      <formula>NOT(ISERROR(SEARCH("No",K13)))</formula>
    </cfRule>
    <cfRule type="containsText" priority="5" operator="containsText" aboveAverage="0" equalAverage="0" bottom="0" percent="0" rank="0" text="Yes" dxfId="11">
      <formula>NOT(ISERROR(SEARCH("Yes",K13)))</formula>
    </cfRule>
  </conditionalFormatting>
  <conditionalFormatting sqref="K11">
    <cfRule type="containsText" priority="6" operator="containsText" aboveAverage="0" equalAverage="0" bottom="0" percent="0" rank="0" text="No" dxfId="12">
      <formula>NOT(ISERROR(SEARCH("No",K11)))</formula>
    </cfRule>
    <cfRule type="containsText" priority="7" operator="containsText" aboveAverage="0" equalAverage="0" bottom="0" percent="0" rank="0" text="Yes" dxfId="13">
      <formula>NOT(ISERROR(SEARCH("Yes",K11)))</formula>
    </cfRule>
  </conditionalFormatting>
  <dataValidations count="2">
    <dataValidation allowBlank="true" errorStyle="stop" operator="between" showDropDown="false" showErrorMessage="true" showInputMessage="true" sqref="K11:L20" type="list">
      <formula1>"Yes,No"</formula1>
      <formula2>0</formula2>
    </dataValidation>
    <dataValidation allowBlank="true" errorStyle="stop" operator="between" showDropDown="false" showErrorMessage="true" showInputMessage="true" sqref="E11:E23 I11:I23" type="list">
      <formula1>"0,1,2"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AF3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3.71"/>
    <col collapsed="false" customWidth="true" hidden="false" outlineLevel="0" max="10" min="10" style="0" width="9.14"/>
    <col collapsed="false" customWidth="true" hidden="false" outlineLevel="0" max="15" min="15" style="0" width="9.14"/>
  </cols>
  <sheetData>
    <row r="1" customFormat="false" ht="15" hidden="false" customHeight="false" outlineLevel="0" collapsed="false">
      <c r="A1" s="90"/>
      <c r="B1" s="91"/>
      <c r="C1" s="91"/>
      <c r="D1" s="91"/>
      <c r="E1" s="91"/>
      <c r="F1" s="91"/>
      <c r="G1" s="91"/>
      <c r="H1" s="91"/>
      <c r="I1" s="90"/>
      <c r="J1" s="91"/>
      <c r="K1" s="91"/>
      <c r="L1" s="91"/>
      <c r="M1" s="91"/>
      <c r="N1" s="91"/>
      <c r="O1" s="91"/>
      <c r="P1" s="91"/>
      <c r="Q1" s="91"/>
      <c r="R1" s="148" t="s">
        <v>132</v>
      </c>
      <c r="S1" s="149"/>
      <c r="T1" s="149"/>
      <c r="U1" s="149"/>
      <c r="V1" s="149"/>
      <c r="W1" s="149"/>
      <c r="X1" s="149"/>
      <c r="Y1" s="149"/>
      <c r="Z1" s="149"/>
      <c r="AA1" s="149"/>
      <c r="AB1" s="149"/>
      <c r="AC1" s="149"/>
      <c r="AD1" s="149"/>
      <c r="AE1" s="149"/>
      <c r="AF1" s="149"/>
    </row>
    <row r="2" customFormat="false" ht="15" hidden="false" customHeight="false" outlineLevel="0" collapsed="false">
      <c r="A2" s="92" t="s">
        <v>98</v>
      </c>
      <c r="B2" s="150"/>
      <c r="C2" s="150"/>
      <c r="D2" s="110"/>
      <c r="E2" s="91"/>
      <c r="F2" s="96" t="s">
        <v>101</v>
      </c>
      <c r="G2" s="96"/>
      <c r="H2" s="96"/>
      <c r="I2" s="91"/>
      <c r="J2" s="91"/>
      <c r="K2" s="91"/>
      <c r="L2" s="92" t="s">
        <v>112</v>
      </c>
      <c r="M2" s="151" t="s">
        <v>133</v>
      </c>
      <c r="N2" s="151"/>
      <c r="O2" s="91"/>
      <c r="P2" s="91"/>
      <c r="Q2" s="91"/>
      <c r="R2" s="98" t="n">
        <v>1</v>
      </c>
      <c r="S2" s="99" t="s">
        <v>134</v>
      </c>
      <c r="T2" s="149"/>
      <c r="U2" s="149"/>
      <c r="V2" s="149"/>
      <c r="W2" s="149"/>
      <c r="X2" s="149"/>
      <c r="Y2" s="149"/>
      <c r="Z2" s="149"/>
      <c r="AA2" s="149"/>
      <c r="AB2" s="149"/>
      <c r="AC2" s="149"/>
      <c r="AD2" s="149"/>
      <c r="AE2" s="149"/>
      <c r="AF2" s="149"/>
    </row>
    <row r="3" customFormat="false" ht="15" hidden="false" customHeight="false" outlineLevel="0" collapsed="false">
      <c r="A3" s="92" t="s">
        <v>103</v>
      </c>
      <c r="B3" s="150"/>
      <c r="C3" s="150"/>
      <c r="D3" s="91"/>
      <c r="E3" s="91"/>
      <c r="F3" s="91"/>
      <c r="G3" s="91"/>
      <c r="H3" s="91"/>
      <c r="I3" s="91"/>
      <c r="J3" s="91"/>
      <c r="K3" s="91"/>
      <c r="L3" s="92" t="s">
        <v>135</v>
      </c>
      <c r="M3" s="152"/>
      <c r="N3" s="152"/>
      <c r="O3" s="91"/>
      <c r="P3" s="91"/>
      <c r="Q3" s="91"/>
      <c r="R3" s="98" t="n">
        <v>2</v>
      </c>
      <c r="S3" s="149" t="s">
        <v>136</v>
      </c>
      <c r="T3" s="149"/>
      <c r="U3" s="149"/>
      <c r="V3" s="149"/>
      <c r="W3" s="149"/>
      <c r="X3" s="149"/>
      <c r="Y3" s="149"/>
      <c r="Z3" s="149"/>
      <c r="AA3" s="149"/>
      <c r="AB3" s="149"/>
      <c r="AC3" s="149"/>
      <c r="AD3" s="149"/>
      <c r="AE3" s="149"/>
      <c r="AF3" s="149"/>
    </row>
    <row r="4" customFormat="false" ht="15" hidden="false" customHeight="false" outlineLevel="0" collapsed="false">
      <c r="A4" s="100" t="s">
        <v>105</v>
      </c>
      <c r="B4" s="150"/>
      <c r="C4" s="150"/>
      <c r="D4" s="91"/>
      <c r="E4" s="91"/>
      <c r="F4" s="91"/>
      <c r="G4" s="91"/>
      <c r="H4" s="91"/>
      <c r="I4" s="90"/>
      <c r="J4" s="91"/>
      <c r="K4" s="91"/>
      <c r="L4" s="91"/>
      <c r="M4" s="91"/>
      <c r="N4" s="91"/>
      <c r="O4" s="91"/>
      <c r="P4" s="91"/>
      <c r="Q4" s="91"/>
      <c r="R4" s="98" t="n">
        <v>3</v>
      </c>
      <c r="S4" s="149" t="s">
        <v>137</v>
      </c>
      <c r="T4" s="149"/>
      <c r="U4" s="149"/>
      <c r="V4" s="149"/>
      <c r="W4" s="149"/>
      <c r="X4" s="149"/>
      <c r="Y4" s="149"/>
      <c r="Z4" s="149"/>
      <c r="AA4" s="149"/>
      <c r="AB4" s="149"/>
      <c r="AC4" s="149"/>
      <c r="AD4" s="149"/>
      <c r="AE4" s="149"/>
      <c r="AF4" s="149"/>
    </row>
    <row r="5" customFormat="false" ht="15" hidden="false" customHeight="false" outlineLevel="0" collapsed="false">
      <c r="A5" s="92" t="s">
        <v>108</v>
      </c>
      <c r="B5" s="153"/>
      <c r="C5" s="153"/>
      <c r="D5" s="91"/>
      <c r="E5" s="91" t="s">
        <v>138</v>
      </c>
      <c r="F5" s="91"/>
      <c r="G5" s="91"/>
      <c r="H5" s="91"/>
      <c r="I5" s="90"/>
      <c r="J5" s="91"/>
      <c r="K5" s="91"/>
      <c r="L5" s="91"/>
      <c r="M5" s="91"/>
      <c r="N5" s="91"/>
      <c r="O5" s="91"/>
      <c r="P5" s="91"/>
      <c r="Q5" s="91"/>
      <c r="R5" s="98" t="n">
        <v>4</v>
      </c>
      <c r="S5" s="99" t="s">
        <v>139</v>
      </c>
      <c r="T5" s="149"/>
      <c r="U5" s="149"/>
      <c r="V5" s="149"/>
      <c r="W5" s="149"/>
      <c r="X5" s="149"/>
      <c r="Y5" s="149"/>
      <c r="Z5" s="149"/>
      <c r="AA5" s="149"/>
      <c r="AB5" s="149"/>
      <c r="AC5" s="149"/>
      <c r="AD5" s="149"/>
      <c r="AE5" s="149"/>
      <c r="AF5" s="149"/>
    </row>
    <row r="6" customFormat="false" ht="15" hidden="false" customHeight="false" outlineLevel="0" collapsed="false">
      <c r="A6" s="91"/>
      <c r="B6" s="91"/>
      <c r="C6" s="91"/>
      <c r="D6" s="91"/>
      <c r="E6" s="91"/>
      <c r="F6" s="91"/>
      <c r="G6" s="91"/>
      <c r="H6" s="91"/>
      <c r="I6" s="90"/>
      <c r="J6" s="91"/>
      <c r="K6" s="91"/>
      <c r="L6" s="91"/>
      <c r="M6" s="91"/>
      <c r="N6" s="91"/>
      <c r="O6" s="91"/>
      <c r="P6" s="91"/>
      <c r="Q6" s="91"/>
      <c r="R6" s="154" t="s">
        <v>140</v>
      </c>
      <c r="S6" s="155"/>
      <c r="T6" s="155"/>
      <c r="U6" s="155"/>
      <c r="V6" s="155"/>
      <c r="W6" s="155"/>
      <c r="X6" s="155"/>
      <c r="Y6" s="155"/>
      <c r="Z6" s="155"/>
      <c r="AA6" s="155"/>
      <c r="AB6" s="155"/>
      <c r="AC6" s="155"/>
      <c r="AD6" s="155"/>
      <c r="AE6" s="155"/>
      <c r="AF6" s="155"/>
    </row>
    <row r="7" customFormat="false" ht="15" hidden="false" customHeight="false" outlineLevel="0" collapsed="false">
      <c r="A7" s="156" t="s">
        <v>115</v>
      </c>
      <c r="B7" s="156"/>
      <c r="C7" s="156"/>
      <c r="D7" s="156"/>
      <c r="E7" s="156"/>
      <c r="F7" s="156"/>
      <c r="G7" s="156"/>
      <c r="H7" s="156"/>
      <c r="I7" s="156"/>
      <c r="J7" s="157"/>
      <c r="K7" s="158" t="s">
        <v>116</v>
      </c>
      <c r="L7" s="158"/>
      <c r="M7" s="158"/>
      <c r="N7" s="158"/>
      <c r="O7" s="158"/>
      <c r="P7" s="158"/>
      <c r="Q7" s="157"/>
      <c r="R7" s="159" t="n">
        <v>4</v>
      </c>
      <c r="S7" s="155" t="s">
        <v>136</v>
      </c>
      <c r="T7" s="104"/>
      <c r="U7" s="104"/>
      <c r="V7" s="104"/>
      <c r="W7" s="104"/>
      <c r="X7" s="104"/>
      <c r="Y7" s="104"/>
      <c r="Z7" s="104"/>
      <c r="AA7" s="104"/>
      <c r="AB7" s="104"/>
      <c r="AC7" s="104"/>
      <c r="AD7" s="104"/>
      <c r="AE7" s="104"/>
      <c r="AF7" s="104"/>
    </row>
    <row r="8" customFormat="false" ht="15" hidden="false" customHeight="true" outlineLevel="0" collapsed="false">
      <c r="A8" s="157"/>
      <c r="B8" s="157"/>
      <c r="C8" s="157"/>
      <c r="D8" s="160" t="s">
        <v>141</v>
      </c>
      <c r="E8" s="160"/>
      <c r="F8" s="160"/>
      <c r="G8" s="160"/>
      <c r="H8" s="160"/>
      <c r="I8" s="91"/>
      <c r="J8" s="91"/>
      <c r="K8" s="160" t="s">
        <v>141</v>
      </c>
      <c r="L8" s="160"/>
      <c r="M8" s="160"/>
      <c r="N8" s="160"/>
      <c r="O8" s="160"/>
      <c r="P8" s="91"/>
      <c r="Q8" s="91"/>
      <c r="R8" s="159" t="n">
        <v>5</v>
      </c>
      <c r="S8" s="155" t="s">
        <v>142</v>
      </c>
      <c r="T8" s="155"/>
      <c r="U8" s="155"/>
      <c r="V8" s="155"/>
      <c r="W8" s="155"/>
      <c r="X8" s="155"/>
      <c r="Y8" s="155"/>
      <c r="Z8" s="155"/>
      <c r="AA8" s="155"/>
      <c r="AB8" s="155"/>
      <c r="AC8" s="155"/>
      <c r="AD8" s="155"/>
      <c r="AE8" s="155"/>
      <c r="AF8" s="155"/>
    </row>
    <row r="9" customFormat="false" ht="15" hidden="false" customHeight="false" outlineLevel="0" collapsed="false">
      <c r="A9" s="157"/>
      <c r="B9" s="157"/>
      <c r="C9" s="157"/>
      <c r="D9" s="161"/>
      <c r="E9" s="162"/>
      <c r="F9" s="163" t="s">
        <v>143</v>
      </c>
      <c r="G9" s="163"/>
      <c r="H9" s="163"/>
      <c r="I9" s="91"/>
      <c r="J9" s="91"/>
      <c r="K9" s="161"/>
      <c r="L9" s="162"/>
      <c r="M9" s="163" t="s">
        <v>143</v>
      </c>
      <c r="N9" s="163"/>
      <c r="O9" s="163"/>
      <c r="P9" s="91"/>
      <c r="Q9" s="91"/>
      <c r="R9" s="157"/>
      <c r="S9" s="157"/>
      <c r="T9" s="91"/>
      <c r="U9" s="91"/>
      <c r="V9" s="91"/>
      <c r="W9" s="91"/>
      <c r="X9" s="91"/>
      <c r="Y9" s="91"/>
      <c r="Z9" s="91"/>
      <c r="AA9" s="91"/>
      <c r="AB9" s="91"/>
      <c r="AC9" s="91"/>
      <c r="AD9" s="91"/>
      <c r="AE9" s="91"/>
      <c r="AF9" s="91"/>
    </row>
    <row r="10" customFormat="false" ht="15" hidden="false" customHeight="false" outlineLevel="0" collapsed="false">
      <c r="A10" s="164" t="s">
        <v>118</v>
      </c>
      <c r="B10" s="164"/>
      <c r="C10" s="164"/>
      <c r="D10" s="165" t="s">
        <v>144</v>
      </c>
      <c r="E10" s="166" t="s">
        <v>145</v>
      </c>
      <c r="F10" s="167" t="s">
        <v>146</v>
      </c>
      <c r="G10" s="151" t="s">
        <v>147</v>
      </c>
      <c r="H10" s="168" t="s">
        <v>148</v>
      </c>
      <c r="I10" s="91"/>
      <c r="J10" s="91"/>
      <c r="K10" s="165" t="s">
        <v>144</v>
      </c>
      <c r="L10" s="166" t="s">
        <v>145</v>
      </c>
      <c r="M10" s="167" t="s">
        <v>146</v>
      </c>
      <c r="N10" s="151" t="s">
        <v>147</v>
      </c>
      <c r="O10" s="168" t="s">
        <v>148</v>
      </c>
      <c r="P10" s="91"/>
      <c r="Q10" s="91"/>
      <c r="R10" s="157"/>
      <c r="S10" s="157"/>
      <c r="T10" s="91"/>
      <c r="U10" s="91"/>
      <c r="V10" s="91"/>
      <c r="W10" s="91"/>
      <c r="X10" s="91"/>
      <c r="Y10" s="91"/>
      <c r="Z10" s="91"/>
      <c r="AA10" s="91"/>
      <c r="AB10" s="91"/>
      <c r="AC10" s="91"/>
      <c r="AD10" s="91"/>
      <c r="AE10" s="91"/>
      <c r="AF10" s="91"/>
    </row>
    <row r="11" customFormat="false" ht="15" hidden="false" customHeight="false" outlineLevel="0" collapsed="false">
      <c r="A11" s="169"/>
      <c r="B11" s="169"/>
      <c r="C11" s="169"/>
      <c r="D11" s="170"/>
      <c r="E11" s="171"/>
      <c r="F11" s="172"/>
      <c r="G11" s="173"/>
      <c r="H11" s="174"/>
      <c r="I11" s="91"/>
      <c r="J11" s="91"/>
      <c r="K11" s="170"/>
      <c r="L11" s="171"/>
      <c r="M11" s="172"/>
      <c r="N11" s="173"/>
      <c r="O11" s="174"/>
      <c r="P11" s="91"/>
      <c r="Q11" s="91"/>
      <c r="R11" s="157"/>
      <c r="S11" s="157"/>
      <c r="T11" s="91"/>
      <c r="U11" s="91"/>
      <c r="V11" s="91"/>
      <c r="W11" s="91"/>
      <c r="X11" s="91"/>
      <c r="Y11" s="91"/>
      <c r="Z11" s="91"/>
      <c r="AA11" s="91"/>
      <c r="AB11" s="91"/>
      <c r="AC11" s="91"/>
      <c r="AD11" s="91"/>
      <c r="AE11" s="91"/>
      <c r="AF11" s="91"/>
    </row>
    <row r="12" customFormat="false" ht="15" hidden="false" customHeight="false" outlineLevel="0" collapsed="false">
      <c r="A12" s="175"/>
      <c r="B12" s="175"/>
      <c r="C12" s="175"/>
      <c r="D12" s="176"/>
      <c r="E12" s="177"/>
      <c r="F12" s="178"/>
      <c r="G12" s="179"/>
      <c r="H12" s="180"/>
      <c r="I12" s="91"/>
      <c r="J12" s="91"/>
      <c r="K12" s="176"/>
      <c r="L12" s="177"/>
      <c r="M12" s="178"/>
      <c r="N12" s="179"/>
      <c r="O12" s="180"/>
      <c r="P12" s="91"/>
      <c r="Q12" s="91"/>
      <c r="R12" s="157"/>
      <c r="S12" s="157"/>
      <c r="T12" s="91"/>
      <c r="U12" s="91"/>
      <c r="V12" s="91"/>
      <c r="W12" s="91"/>
      <c r="X12" s="91"/>
      <c r="Y12" s="91"/>
      <c r="Z12" s="91"/>
      <c r="AA12" s="91"/>
      <c r="AB12" s="91"/>
      <c r="AC12" s="91"/>
      <c r="AD12" s="91"/>
      <c r="AE12" s="91"/>
      <c r="AF12" s="91"/>
    </row>
    <row r="13" customFormat="false" ht="15" hidden="false" customHeight="false" outlineLevel="0" collapsed="false">
      <c r="A13" s="175"/>
      <c r="B13" s="175"/>
      <c r="C13" s="175"/>
      <c r="D13" s="176"/>
      <c r="E13" s="177"/>
      <c r="F13" s="178"/>
      <c r="G13" s="179"/>
      <c r="H13" s="180"/>
      <c r="I13" s="91"/>
      <c r="J13" s="91"/>
      <c r="K13" s="176"/>
      <c r="L13" s="177"/>
      <c r="M13" s="178"/>
      <c r="N13" s="179"/>
      <c r="O13" s="180"/>
      <c r="P13" s="91"/>
      <c r="Q13" s="91"/>
      <c r="R13" s="157"/>
      <c r="S13" s="157"/>
      <c r="T13" s="91"/>
      <c r="U13" s="91"/>
      <c r="V13" s="91"/>
      <c r="W13" s="91"/>
      <c r="X13" s="91"/>
      <c r="Y13" s="91"/>
      <c r="Z13" s="91"/>
      <c r="AA13" s="91"/>
      <c r="AB13" s="91"/>
      <c r="AC13" s="91"/>
      <c r="AD13" s="91"/>
      <c r="AE13" s="91"/>
      <c r="AF13" s="91"/>
    </row>
    <row r="14" customFormat="false" ht="15" hidden="false" customHeight="false" outlineLevel="0" collapsed="false">
      <c r="A14" s="175"/>
      <c r="B14" s="175"/>
      <c r="C14" s="175"/>
      <c r="D14" s="176"/>
      <c r="E14" s="177"/>
      <c r="F14" s="178"/>
      <c r="G14" s="179"/>
      <c r="H14" s="180"/>
      <c r="I14" s="91"/>
      <c r="J14" s="91"/>
      <c r="K14" s="176"/>
      <c r="L14" s="177"/>
      <c r="M14" s="178"/>
      <c r="N14" s="179"/>
      <c r="O14" s="180"/>
      <c r="P14" s="91"/>
      <c r="Q14" s="91"/>
      <c r="R14" s="157"/>
      <c r="S14" s="157"/>
      <c r="T14" s="91"/>
      <c r="U14" s="91"/>
      <c r="V14" s="91"/>
      <c r="W14" s="91"/>
      <c r="X14" s="91"/>
      <c r="Y14" s="91"/>
      <c r="Z14" s="91"/>
      <c r="AA14" s="91"/>
      <c r="AB14" s="91"/>
      <c r="AC14" s="91"/>
      <c r="AD14" s="91"/>
      <c r="AE14" s="91"/>
      <c r="AF14" s="91"/>
    </row>
    <row r="15" customFormat="false" ht="15" hidden="false" customHeight="false" outlineLevel="0" collapsed="false">
      <c r="A15" s="175"/>
      <c r="B15" s="175"/>
      <c r="C15" s="175"/>
      <c r="D15" s="176"/>
      <c r="E15" s="177"/>
      <c r="F15" s="178"/>
      <c r="G15" s="179"/>
      <c r="H15" s="180"/>
      <c r="I15" s="91"/>
      <c r="J15" s="91"/>
      <c r="K15" s="176"/>
      <c r="L15" s="177"/>
      <c r="M15" s="178"/>
      <c r="N15" s="179"/>
      <c r="O15" s="180"/>
      <c r="P15" s="91"/>
      <c r="Q15" s="91"/>
      <c r="R15" s="157"/>
      <c r="S15" s="157"/>
      <c r="T15" s="91"/>
      <c r="U15" s="91"/>
      <c r="V15" s="91"/>
      <c r="W15" s="91"/>
      <c r="X15" s="91"/>
      <c r="Y15" s="91"/>
      <c r="Z15" s="91"/>
      <c r="AA15" s="91"/>
      <c r="AB15" s="91"/>
      <c r="AC15" s="91"/>
      <c r="AD15" s="91"/>
      <c r="AE15" s="91"/>
      <c r="AF15" s="91"/>
    </row>
    <row r="16" customFormat="false" ht="15" hidden="false" customHeight="false" outlineLevel="0" collapsed="false">
      <c r="A16" s="175"/>
      <c r="B16" s="175"/>
      <c r="C16" s="175"/>
      <c r="D16" s="176"/>
      <c r="E16" s="177"/>
      <c r="F16" s="178"/>
      <c r="G16" s="179"/>
      <c r="H16" s="180"/>
      <c r="I16" s="91"/>
      <c r="J16" s="91"/>
      <c r="K16" s="176"/>
      <c r="L16" s="177"/>
      <c r="M16" s="178"/>
      <c r="N16" s="179"/>
      <c r="O16" s="180"/>
      <c r="P16" s="91"/>
      <c r="Q16" s="91"/>
      <c r="R16" s="157"/>
      <c r="S16" s="157"/>
      <c r="T16" s="91"/>
      <c r="U16" s="91"/>
      <c r="V16" s="91"/>
      <c r="W16" s="91"/>
      <c r="X16" s="91"/>
      <c r="Y16" s="91"/>
      <c r="Z16" s="91"/>
      <c r="AA16" s="91"/>
      <c r="AB16" s="91"/>
      <c r="AC16" s="91"/>
      <c r="AD16" s="91"/>
      <c r="AE16" s="91"/>
      <c r="AF16" s="91"/>
    </row>
    <row r="17" customFormat="false" ht="15" hidden="false" customHeight="false" outlineLevel="0" collapsed="false">
      <c r="A17" s="175"/>
      <c r="B17" s="175"/>
      <c r="C17" s="175"/>
      <c r="D17" s="176"/>
      <c r="E17" s="177"/>
      <c r="F17" s="178"/>
      <c r="G17" s="179"/>
      <c r="H17" s="180"/>
      <c r="I17" s="91"/>
      <c r="J17" s="91"/>
      <c r="K17" s="176"/>
      <c r="L17" s="177"/>
      <c r="M17" s="178"/>
      <c r="N17" s="179"/>
      <c r="O17" s="180"/>
      <c r="P17" s="91"/>
      <c r="Q17" s="91"/>
      <c r="R17" s="157"/>
      <c r="S17" s="157"/>
      <c r="T17" s="91"/>
      <c r="U17" s="91"/>
      <c r="V17" s="91"/>
      <c r="W17" s="91"/>
      <c r="X17" s="91"/>
      <c r="Y17" s="91"/>
      <c r="Z17" s="91"/>
      <c r="AA17" s="91"/>
      <c r="AB17" s="91"/>
      <c r="AC17" s="91"/>
      <c r="AD17" s="91"/>
      <c r="AE17" s="91"/>
      <c r="AF17" s="91"/>
    </row>
    <row r="18" customFormat="false" ht="15" hidden="false" customHeight="false" outlineLevel="0" collapsed="false">
      <c r="A18" s="175"/>
      <c r="B18" s="175"/>
      <c r="C18" s="175"/>
      <c r="D18" s="176"/>
      <c r="E18" s="177"/>
      <c r="F18" s="178"/>
      <c r="G18" s="179"/>
      <c r="H18" s="180"/>
      <c r="I18" s="91"/>
      <c r="J18" s="91"/>
      <c r="K18" s="176"/>
      <c r="L18" s="177"/>
      <c r="M18" s="178"/>
      <c r="N18" s="179"/>
      <c r="O18" s="180"/>
      <c r="P18" s="91"/>
      <c r="Q18" s="91"/>
      <c r="R18" s="157"/>
      <c r="S18" s="157"/>
      <c r="T18" s="91"/>
      <c r="U18" s="91"/>
      <c r="V18" s="91"/>
      <c r="W18" s="91"/>
      <c r="X18" s="91"/>
      <c r="Y18" s="91"/>
      <c r="Z18" s="91"/>
      <c r="AA18" s="91"/>
      <c r="AB18" s="91"/>
      <c r="AC18" s="91"/>
      <c r="AD18" s="91"/>
      <c r="AE18" s="91"/>
      <c r="AF18" s="91"/>
    </row>
    <row r="19" customFormat="false" ht="15" hidden="false" customHeight="false" outlineLevel="0" collapsed="false">
      <c r="A19" s="175"/>
      <c r="B19" s="175"/>
      <c r="C19" s="175"/>
      <c r="D19" s="176"/>
      <c r="E19" s="177"/>
      <c r="F19" s="178"/>
      <c r="G19" s="179"/>
      <c r="H19" s="180"/>
      <c r="I19" s="91"/>
      <c r="J19" s="91"/>
      <c r="K19" s="176"/>
      <c r="L19" s="177"/>
      <c r="M19" s="178"/>
      <c r="N19" s="179"/>
      <c r="O19" s="180"/>
      <c r="P19" s="91"/>
      <c r="Q19" s="91"/>
      <c r="R19" s="157"/>
      <c r="S19" s="157"/>
      <c r="T19" s="91"/>
      <c r="U19" s="91"/>
      <c r="V19" s="91"/>
      <c r="W19" s="91"/>
      <c r="X19" s="91"/>
      <c r="Y19" s="91"/>
      <c r="Z19" s="91"/>
      <c r="AA19" s="91"/>
      <c r="AB19" s="91"/>
      <c r="AC19" s="91"/>
      <c r="AD19" s="91"/>
      <c r="AE19" s="91"/>
      <c r="AF19" s="91"/>
    </row>
    <row r="20" customFormat="false" ht="15" hidden="false" customHeight="false" outlineLevel="0" collapsed="false">
      <c r="A20" s="181"/>
      <c r="B20" s="181"/>
      <c r="C20" s="181"/>
      <c r="D20" s="182"/>
      <c r="E20" s="183"/>
      <c r="F20" s="184"/>
      <c r="G20" s="185"/>
      <c r="H20" s="186"/>
      <c r="I20" s="91"/>
      <c r="J20" s="91"/>
      <c r="K20" s="182"/>
      <c r="L20" s="183"/>
      <c r="M20" s="184"/>
      <c r="N20" s="185"/>
      <c r="O20" s="186"/>
      <c r="P20" s="91"/>
      <c r="Q20" s="91"/>
      <c r="R20" s="157"/>
      <c r="S20" s="157"/>
      <c r="T20" s="91"/>
      <c r="U20" s="91"/>
      <c r="V20" s="91"/>
      <c r="W20" s="91"/>
      <c r="X20" s="91"/>
      <c r="Y20" s="91"/>
      <c r="Z20" s="91"/>
      <c r="AA20" s="91"/>
      <c r="AB20" s="91"/>
      <c r="AC20" s="91"/>
      <c r="AD20" s="91"/>
      <c r="AE20" s="91"/>
      <c r="AF20" s="91"/>
    </row>
    <row r="21" customFormat="false" ht="15" hidden="false" customHeight="false" outlineLevel="0" collapsed="false">
      <c r="A21" s="91"/>
      <c r="B21" s="91"/>
      <c r="C21" s="91"/>
      <c r="D21" s="91"/>
      <c r="E21" s="91"/>
      <c r="F21" s="91"/>
      <c r="G21" s="91"/>
      <c r="H21" s="91"/>
      <c r="I21" s="90"/>
      <c r="J21" s="91"/>
      <c r="K21" s="91"/>
      <c r="L21" s="91"/>
      <c r="M21" s="91"/>
      <c r="N21" s="91"/>
      <c r="O21" s="91"/>
      <c r="P21" s="157"/>
      <c r="Q21" s="157"/>
      <c r="R21" s="91"/>
      <c r="S21" s="91"/>
      <c r="T21" s="91"/>
      <c r="U21" s="91"/>
      <c r="V21" s="91"/>
      <c r="W21" s="91"/>
      <c r="X21" s="91"/>
      <c r="Y21" s="91"/>
      <c r="Z21" s="91"/>
      <c r="AA21" s="91"/>
      <c r="AB21" s="91"/>
      <c r="AC21" s="91"/>
      <c r="AD21" s="91"/>
      <c r="AE21" s="91"/>
      <c r="AF21" s="91"/>
    </row>
    <row r="22" customFormat="false" ht="15" hidden="false" customHeight="false" outlineLevel="0" collapsed="false">
      <c r="A22" s="187"/>
      <c r="B22" s="187"/>
      <c r="C22" s="187"/>
      <c r="D22" s="188" t="s">
        <v>149</v>
      </c>
      <c r="E22" s="188"/>
      <c r="F22" s="188" t="s">
        <v>150</v>
      </c>
      <c r="G22" s="188"/>
      <c r="H22" s="188" t="s">
        <v>151</v>
      </c>
      <c r="I22" s="188"/>
      <c r="J22" s="91"/>
      <c r="K22" s="188" t="s">
        <v>149</v>
      </c>
      <c r="L22" s="188"/>
      <c r="M22" s="188" t="s">
        <v>150</v>
      </c>
      <c r="N22" s="188"/>
      <c r="O22" s="188" t="s">
        <v>151</v>
      </c>
      <c r="P22" s="188"/>
      <c r="Q22" s="91"/>
      <c r="R22" s="91"/>
      <c r="S22" s="91"/>
      <c r="T22" s="91"/>
      <c r="U22" s="91"/>
      <c r="V22" s="91"/>
      <c r="W22" s="91"/>
      <c r="X22" s="91"/>
      <c r="Y22" s="91"/>
      <c r="Z22" s="91"/>
      <c r="AA22" s="91"/>
      <c r="AB22" s="91"/>
      <c r="AC22" s="91"/>
      <c r="AD22" s="91"/>
      <c r="AE22" s="91"/>
      <c r="AF22" s="91"/>
    </row>
    <row r="23" customFormat="false" ht="15" hidden="false" customHeight="true" outlineLevel="0" collapsed="false">
      <c r="A23" s="189" t="s">
        <v>152</v>
      </c>
      <c r="B23" s="189"/>
      <c r="C23" s="189"/>
      <c r="D23" s="190" t="s">
        <v>146</v>
      </c>
      <c r="E23" s="191" t="s">
        <v>153</v>
      </c>
      <c r="F23" s="192" t="s">
        <v>147</v>
      </c>
      <c r="G23" s="191" t="s">
        <v>153</v>
      </c>
      <c r="H23" s="193" t="s">
        <v>148</v>
      </c>
      <c r="I23" s="191" t="s">
        <v>153</v>
      </c>
      <c r="J23" s="91"/>
      <c r="K23" s="190" t="s">
        <v>146</v>
      </c>
      <c r="L23" s="191" t="s">
        <v>153</v>
      </c>
      <c r="M23" s="192" t="s">
        <v>147</v>
      </c>
      <c r="N23" s="191" t="s">
        <v>153</v>
      </c>
      <c r="O23" s="193" t="s">
        <v>148</v>
      </c>
      <c r="P23" s="191" t="s">
        <v>153</v>
      </c>
      <c r="Q23" s="91"/>
      <c r="R23" s="91"/>
      <c r="S23" s="91"/>
      <c r="T23" s="91"/>
      <c r="U23" s="91"/>
      <c r="V23" s="91"/>
      <c r="W23" s="91"/>
      <c r="X23" s="91"/>
      <c r="Y23" s="91"/>
      <c r="Z23" s="91"/>
      <c r="AA23" s="91"/>
      <c r="AB23" s="91"/>
      <c r="AC23" s="91"/>
      <c r="AD23" s="91"/>
      <c r="AE23" s="91"/>
      <c r="AF23" s="91"/>
    </row>
    <row r="24" customFormat="false" ht="15" hidden="false" customHeight="false" outlineLevel="0" collapsed="false">
      <c r="A24" s="189"/>
      <c r="B24" s="189"/>
      <c r="C24" s="189"/>
      <c r="D24" s="190"/>
      <c r="E24" s="191"/>
      <c r="F24" s="192"/>
      <c r="G24" s="191"/>
      <c r="H24" s="193"/>
      <c r="I24" s="191"/>
      <c r="J24" s="91"/>
      <c r="K24" s="190"/>
      <c r="L24" s="191"/>
      <c r="M24" s="192"/>
      <c r="N24" s="191"/>
      <c r="O24" s="193"/>
      <c r="P24" s="191"/>
      <c r="Q24" s="91"/>
      <c r="R24" s="91"/>
      <c r="S24" s="91"/>
      <c r="T24" s="91"/>
      <c r="U24" s="91"/>
      <c r="V24" s="91"/>
      <c r="W24" s="91"/>
      <c r="X24" s="91"/>
      <c r="Y24" s="91"/>
      <c r="Z24" s="91"/>
      <c r="AA24" s="91"/>
      <c r="AB24" s="91"/>
      <c r="AC24" s="91"/>
      <c r="AD24" s="91"/>
      <c r="AE24" s="91"/>
      <c r="AF24" s="91"/>
    </row>
    <row r="25" customFormat="false" ht="15" hidden="false" customHeight="false" outlineLevel="0" collapsed="false">
      <c r="A25" s="188" t="s">
        <v>154</v>
      </c>
      <c r="B25" s="188"/>
      <c r="C25" s="188"/>
      <c r="D25" s="194"/>
      <c r="E25" s="173"/>
      <c r="F25" s="173"/>
      <c r="G25" s="173"/>
      <c r="H25" s="173"/>
      <c r="I25" s="174"/>
      <c r="J25" s="91"/>
      <c r="K25" s="172"/>
      <c r="L25" s="173"/>
      <c r="M25" s="173"/>
      <c r="N25" s="173"/>
      <c r="O25" s="173"/>
      <c r="P25" s="174"/>
      <c r="Q25" s="91"/>
      <c r="R25" s="91"/>
      <c r="S25" s="91"/>
      <c r="T25" s="91"/>
      <c r="U25" s="91"/>
      <c r="V25" s="91"/>
      <c r="W25" s="91"/>
      <c r="X25" s="91"/>
      <c r="Y25" s="91"/>
      <c r="Z25" s="91"/>
      <c r="AA25" s="91"/>
      <c r="AB25" s="91"/>
      <c r="AC25" s="91"/>
      <c r="AD25" s="91"/>
      <c r="AE25" s="91"/>
      <c r="AF25" s="91"/>
    </row>
    <row r="26" customFormat="false" ht="15" hidden="false" customHeight="false" outlineLevel="0" collapsed="false">
      <c r="A26" s="195" t="s">
        <v>155</v>
      </c>
      <c r="B26" s="195"/>
      <c r="C26" s="195"/>
      <c r="D26" s="196"/>
      <c r="E26" s="197"/>
      <c r="F26" s="197"/>
      <c r="G26" s="197"/>
      <c r="H26" s="197"/>
      <c r="I26" s="198"/>
      <c r="J26" s="91"/>
      <c r="K26" s="199"/>
      <c r="L26" s="197"/>
      <c r="M26" s="197"/>
      <c r="N26" s="197"/>
      <c r="O26" s="197"/>
      <c r="P26" s="198"/>
      <c r="Q26" s="91"/>
      <c r="R26" s="91"/>
      <c r="S26" s="91"/>
      <c r="T26" s="91"/>
      <c r="U26" s="91"/>
      <c r="V26" s="91"/>
      <c r="W26" s="91"/>
      <c r="X26" s="91"/>
      <c r="Y26" s="91"/>
      <c r="Z26" s="91"/>
      <c r="AA26" s="91"/>
      <c r="AB26" s="91"/>
      <c r="AC26" s="91"/>
      <c r="AD26" s="91"/>
      <c r="AE26" s="91"/>
      <c r="AF26" s="91"/>
    </row>
    <row r="27" customFormat="false" ht="15" hidden="false" customHeight="false" outlineLevel="0" collapsed="false">
      <c r="A27" s="195" t="s">
        <v>156</v>
      </c>
      <c r="B27" s="195"/>
      <c r="C27" s="195"/>
      <c r="D27" s="196"/>
      <c r="E27" s="197"/>
      <c r="F27" s="197"/>
      <c r="G27" s="197"/>
      <c r="H27" s="197"/>
      <c r="I27" s="198"/>
      <c r="J27" s="91"/>
      <c r="K27" s="199"/>
      <c r="L27" s="197"/>
      <c r="M27" s="197"/>
      <c r="N27" s="197"/>
      <c r="O27" s="197"/>
      <c r="P27" s="198"/>
      <c r="Q27" s="91"/>
      <c r="R27" s="91"/>
      <c r="S27" s="91"/>
      <c r="T27" s="91"/>
      <c r="U27" s="91"/>
      <c r="V27" s="91"/>
      <c r="W27" s="91"/>
      <c r="X27" s="91"/>
      <c r="Y27" s="91"/>
      <c r="Z27" s="91"/>
      <c r="AA27" s="91"/>
      <c r="AB27" s="91"/>
      <c r="AC27" s="91"/>
      <c r="AD27" s="91"/>
      <c r="AE27" s="91"/>
      <c r="AF27" s="91"/>
    </row>
    <row r="28" customFormat="false" ht="15" hidden="false" customHeight="false" outlineLevel="0" collapsed="false">
      <c r="A28" s="195" t="s">
        <v>157</v>
      </c>
      <c r="B28" s="195"/>
      <c r="C28" s="195"/>
      <c r="D28" s="196"/>
      <c r="E28" s="197"/>
      <c r="F28" s="197"/>
      <c r="G28" s="197"/>
      <c r="H28" s="197"/>
      <c r="I28" s="198"/>
      <c r="J28" s="91"/>
      <c r="K28" s="199"/>
      <c r="L28" s="197"/>
      <c r="M28" s="197"/>
      <c r="N28" s="197"/>
      <c r="O28" s="197"/>
      <c r="P28" s="198"/>
      <c r="Q28" s="91"/>
      <c r="R28" s="91"/>
      <c r="S28" s="91"/>
      <c r="T28" s="91"/>
      <c r="U28" s="91"/>
      <c r="V28" s="91"/>
      <c r="W28" s="91"/>
      <c r="X28" s="91"/>
      <c r="Y28" s="91"/>
      <c r="Z28" s="91"/>
      <c r="AA28" s="91"/>
      <c r="AB28" s="91"/>
      <c r="AC28" s="91"/>
      <c r="AD28" s="91"/>
      <c r="AE28" s="91"/>
      <c r="AF28" s="91"/>
    </row>
    <row r="29" customFormat="false" ht="15" hidden="false" customHeight="false" outlineLevel="0" collapsed="false">
      <c r="A29" s="195" t="s">
        <v>158</v>
      </c>
      <c r="B29" s="195"/>
      <c r="C29" s="195"/>
      <c r="D29" s="196"/>
      <c r="E29" s="197"/>
      <c r="F29" s="197"/>
      <c r="G29" s="197"/>
      <c r="H29" s="197"/>
      <c r="I29" s="198"/>
      <c r="J29" s="91"/>
      <c r="K29" s="199"/>
      <c r="L29" s="197"/>
      <c r="M29" s="197"/>
      <c r="N29" s="197"/>
      <c r="O29" s="197"/>
      <c r="P29" s="198"/>
      <c r="Q29" s="91"/>
      <c r="R29" s="91"/>
      <c r="S29" s="91"/>
      <c r="T29" s="91"/>
      <c r="U29" s="91"/>
      <c r="V29" s="91"/>
      <c r="W29" s="91"/>
      <c r="X29" s="91"/>
      <c r="Y29" s="91"/>
      <c r="Z29" s="91"/>
      <c r="AA29" s="91"/>
      <c r="AB29" s="91"/>
      <c r="AC29" s="91"/>
      <c r="AD29" s="91"/>
      <c r="AE29" s="91"/>
      <c r="AF29" s="91"/>
    </row>
    <row r="30" customFormat="false" ht="15" hidden="false" customHeight="false" outlineLevel="0" collapsed="false">
      <c r="A30" s="200" t="s">
        <v>123</v>
      </c>
      <c r="B30" s="200"/>
      <c r="C30" s="200"/>
      <c r="D30" s="201"/>
      <c r="E30" s="202"/>
      <c r="F30" s="202"/>
      <c r="G30" s="202"/>
      <c r="H30" s="202"/>
      <c r="I30" s="203"/>
      <c r="J30" s="204"/>
      <c r="K30" s="205"/>
      <c r="L30" s="202"/>
      <c r="M30" s="202"/>
      <c r="N30" s="202"/>
      <c r="O30" s="202"/>
      <c r="P30" s="203"/>
      <c r="Q30" s="91"/>
      <c r="R30" s="91"/>
      <c r="S30" s="91"/>
      <c r="T30" s="91"/>
      <c r="U30" s="91"/>
      <c r="V30" s="91"/>
      <c r="W30" s="91"/>
      <c r="X30" s="91"/>
      <c r="Y30" s="91"/>
      <c r="Z30" s="91"/>
      <c r="AA30" s="91"/>
      <c r="AB30" s="91"/>
      <c r="AC30" s="91"/>
      <c r="AD30" s="91"/>
      <c r="AE30" s="91"/>
      <c r="AF30" s="91"/>
    </row>
    <row r="31" customFormat="false" ht="15" hidden="false" customHeight="false" outlineLevel="0" collapsed="false">
      <c r="A31" s="91"/>
      <c r="B31" s="91"/>
      <c r="C31" s="91"/>
      <c r="D31" s="91"/>
      <c r="E31" s="91"/>
      <c r="F31" s="91"/>
      <c r="G31" s="91"/>
      <c r="H31" s="91"/>
      <c r="I31" s="90"/>
      <c r="J31" s="91"/>
      <c r="K31" s="91"/>
      <c r="L31" s="91"/>
      <c r="M31" s="91"/>
      <c r="N31" s="91"/>
      <c r="O31" s="91"/>
      <c r="P31" s="91"/>
      <c r="Q31" s="91"/>
      <c r="R31" s="91"/>
      <c r="S31" s="91"/>
      <c r="T31" s="91"/>
      <c r="U31" s="91"/>
      <c r="V31" s="91"/>
      <c r="W31" s="91"/>
      <c r="X31" s="91"/>
      <c r="Y31" s="91"/>
      <c r="Z31" s="91"/>
      <c r="AA31" s="91"/>
      <c r="AB31" s="91"/>
      <c r="AC31" s="91"/>
      <c r="AD31" s="91"/>
      <c r="AE31" s="91"/>
      <c r="AF31" s="91"/>
    </row>
    <row r="32" customFormat="false" ht="15" hidden="false" customHeight="false" outlineLevel="0" collapsed="false">
      <c r="A32" s="92" t="s">
        <v>124</v>
      </c>
      <c r="B32" s="144"/>
      <c r="C32" s="144"/>
      <c r="D32" s="91"/>
      <c r="E32" s="92" t="s">
        <v>127</v>
      </c>
      <c r="F32" s="144"/>
      <c r="G32" s="144"/>
      <c r="H32" s="91"/>
      <c r="I32" s="91"/>
      <c r="J32" s="91"/>
      <c r="K32" s="91"/>
      <c r="L32" s="92" t="s">
        <v>124</v>
      </c>
      <c r="M32" s="144"/>
      <c r="N32" s="144"/>
      <c r="O32" s="91"/>
      <c r="P32" s="91"/>
      <c r="Q32" s="91"/>
      <c r="R32" s="91"/>
      <c r="S32" s="91"/>
      <c r="T32" s="91"/>
      <c r="U32" s="91"/>
      <c r="V32" s="91"/>
      <c r="W32" s="91"/>
      <c r="X32" s="91"/>
      <c r="Y32" s="91"/>
      <c r="Z32" s="91"/>
      <c r="AA32" s="91"/>
      <c r="AB32" s="91"/>
      <c r="AC32" s="91"/>
      <c r="AD32" s="91"/>
      <c r="AE32" s="91"/>
      <c r="AF32" s="91"/>
    </row>
    <row r="33" customFormat="false" ht="15" hidden="false" customHeight="false" outlineLevel="0" collapsed="false">
      <c r="A33" s="92" t="s">
        <v>126</v>
      </c>
      <c r="B33" s="142"/>
      <c r="C33" s="142"/>
      <c r="D33" s="91"/>
      <c r="E33" s="92" t="s">
        <v>126</v>
      </c>
      <c r="F33" s="142"/>
      <c r="G33" s="142"/>
      <c r="H33" s="91"/>
      <c r="I33" s="91"/>
      <c r="J33" s="91"/>
      <c r="K33" s="91"/>
      <c r="L33" s="92" t="s">
        <v>126</v>
      </c>
      <c r="M33" s="142"/>
      <c r="N33" s="142"/>
      <c r="O33" s="91"/>
      <c r="P33" s="91"/>
      <c r="Q33" s="91"/>
      <c r="R33" s="91"/>
      <c r="S33" s="91"/>
      <c r="T33" s="91"/>
      <c r="U33" s="91"/>
      <c r="V33" s="91"/>
      <c r="W33" s="91"/>
      <c r="X33" s="91"/>
      <c r="Y33" s="91"/>
      <c r="Z33" s="91"/>
      <c r="AA33" s="91"/>
      <c r="AB33" s="91"/>
      <c r="AC33" s="91"/>
      <c r="AD33" s="91"/>
      <c r="AE33" s="91"/>
      <c r="AF33" s="91"/>
    </row>
    <row r="34" customFormat="false" ht="15" hidden="false" customHeight="false" outlineLevel="0" collapsed="false">
      <c r="A34" s="91"/>
      <c r="B34" s="91"/>
      <c r="C34" s="91"/>
      <c r="D34" s="91"/>
      <c r="E34" s="91"/>
      <c r="F34" s="91"/>
      <c r="G34" s="91"/>
      <c r="H34" s="91"/>
      <c r="I34" s="90"/>
      <c r="J34" s="91"/>
      <c r="K34" s="91"/>
      <c r="L34" s="91"/>
      <c r="M34" s="91"/>
      <c r="N34" s="91"/>
      <c r="O34" s="91"/>
      <c r="P34" s="91"/>
      <c r="Q34" s="91"/>
      <c r="R34" s="91"/>
      <c r="S34" s="91"/>
      <c r="T34" s="91"/>
      <c r="U34" s="91"/>
      <c r="V34" s="91"/>
      <c r="W34" s="91"/>
      <c r="X34" s="91"/>
      <c r="Y34" s="91"/>
      <c r="Z34" s="91"/>
      <c r="AA34" s="91"/>
      <c r="AB34" s="91"/>
      <c r="AC34" s="91"/>
      <c r="AD34" s="91"/>
      <c r="AE34" s="91"/>
      <c r="AF34" s="91"/>
    </row>
    <row r="35" customFormat="false" ht="15" hidden="false" customHeight="false" outlineLevel="0" collapsed="false">
      <c r="A35" s="91"/>
      <c r="B35" s="91"/>
      <c r="C35" s="91"/>
      <c r="D35" s="91"/>
      <c r="E35" s="91"/>
      <c r="F35" s="91"/>
      <c r="G35" s="91"/>
      <c r="H35" s="91"/>
      <c r="I35" s="90"/>
      <c r="J35" s="91"/>
      <c r="K35" s="91"/>
      <c r="L35" s="91"/>
      <c r="M35" s="91"/>
      <c r="N35" s="91"/>
      <c r="O35" s="91"/>
      <c r="P35" s="91"/>
      <c r="Q35" s="91"/>
      <c r="R35" s="91"/>
      <c r="S35" s="91"/>
      <c r="T35" s="91"/>
      <c r="U35" s="91"/>
      <c r="V35" s="91"/>
      <c r="W35" s="91"/>
      <c r="X35" s="91"/>
      <c r="Y35" s="91"/>
      <c r="Z35" s="91"/>
      <c r="AA35" s="91"/>
      <c r="AB35" s="91"/>
      <c r="AC35" s="91"/>
      <c r="AD35" s="91"/>
      <c r="AE35" s="91"/>
      <c r="AF35" s="91"/>
    </row>
  </sheetData>
  <mergeCells count="54">
    <mergeCell ref="B2:C2"/>
    <mergeCell ref="M2:N2"/>
    <mergeCell ref="B3:C3"/>
    <mergeCell ref="M3:N3"/>
    <mergeCell ref="B4:C4"/>
    <mergeCell ref="B5:C5"/>
    <mergeCell ref="A7:I7"/>
    <mergeCell ref="K7:P7"/>
    <mergeCell ref="D8:H8"/>
    <mergeCell ref="K8:O8"/>
    <mergeCell ref="F9:H9"/>
    <mergeCell ref="M9:O9"/>
    <mergeCell ref="A10:C10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D22:E22"/>
    <mergeCell ref="F22:G22"/>
    <mergeCell ref="H22:I22"/>
    <mergeCell ref="K22:L22"/>
    <mergeCell ref="M22:N22"/>
    <mergeCell ref="O22:P22"/>
    <mergeCell ref="A23:C24"/>
    <mergeCell ref="D23:D24"/>
    <mergeCell ref="E23:E24"/>
    <mergeCell ref="F23:F24"/>
    <mergeCell ref="G23:G24"/>
    <mergeCell ref="H23:H24"/>
    <mergeCell ref="I23:I24"/>
    <mergeCell ref="K23:K24"/>
    <mergeCell ref="L23:L24"/>
    <mergeCell ref="M23:M24"/>
    <mergeCell ref="N23:N24"/>
    <mergeCell ref="O23:O24"/>
    <mergeCell ref="P23:P24"/>
    <mergeCell ref="A25:C25"/>
    <mergeCell ref="A26:C26"/>
    <mergeCell ref="A27:C27"/>
    <mergeCell ref="A28:C28"/>
    <mergeCell ref="A29:C29"/>
    <mergeCell ref="A30:C30"/>
    <mergeCell ref="B32:C32"/>
    <mergeCell ref="F32:G32"/>
    <mergeCell ref="M32:N32"/>
    <mergeCell ref="B33:C33"/>
    <mergeCell ref="F33:G33"/>
    <mergeCell ref="M33:N33"/>
  </mergeCells>
  <dataValidations count="3">
    <dataValidation allowBlank="true" errorStyle="stop" operator="between" showDropDown="false" showErrorMessage="true" showInputMessage="true" sqref="D30:I30 K30:P30" type="list">
      <formula1>"N/A,0,1,2"</formula1>
      <formula2>0</formula2>
    </dataValidation>
    <dataValidation allowBlank="true" errorStyle="stop" operator="between" showDropDown="false" showErrorMessage="true" showInputMessage="true" sqref="M3" type="list">
      <formula1>"HbA/HbS,HbA/HbC,HbA/HbS/HbC"</formula1>
      <formula2>0</formula2>
    </dataValidation>
    <dataValidation allowBlank="true" errorStyle="stop" operator="between" showDropDown="false" showErrorMessage="true" showInputMessage="true" sqref="D11:E20 K11:L20" type="list">
      <formula1>"A,S,C"</formula1>
      <formula2>0</formula2>
    </dataValidation>
  </dataValidation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V30"/>
  <sheetViews>
    <sheetView showFormulas="false" showGridLines="true" showRowColHeaders="true" showZeros="true" rightToLeft="false" tabSelected="false" showOutlineSymbols="true" defaultGridColor="true" view="normal" topLeftCell="D1" colorId="64" zoomScale="100" zoomScaleNormal="100" zoomScalePageLayoutView="100" workbookViewId="0">
      <selection pane="topLeft" activeCell="A1" activeCellId="0" sqref="A1"/>
    </sheetView>
  </sheetViews>
  <sheetFormatPr defaultColWidth="8.5390625" defaultRowHeight="15" zeroHeight="false" outlineLevelRow="0" outlineLevelCol="0"/>
  <cols>
    <col collapsed="false" customWidth="true" hidden="false" outlineLevel="0" max="1" min="1" style="0" width="19.28"/>
    <col collapsed="false" customWidth="true" hidden="false" outlineLevel="0" max="2" min="2" style="0" width="18.28"/>
    <col collapsed="false" customWidth="true" hidden="false" outlineLevel="0" max="4" min="4" style="0" width="10.85"/>
    <col collapsed="false" customWidth="true" hidden="false" outlineLevel="0" max="5" min="5" style="0" width="13"/>
    <col collapsed="false" customWidth="true" hidden="false" outlineLevel="0" max="7" min="7" style="0" width="12"/>
    <col collapsed="false" customWidth="true" hidden="false" outlineLevel="0" max="8" min="8" style="0" width="18.28"/>
    <col collapsed="false" customWidth="true" hidden="false" outlineLevel="0" max="9" min="9" style="0" width="20.57"/>
    <col collapsed="false" customWidth="true" hidden="false" outlineLevel="0" max="10" min="10" style="0" width="20.28"/>
    <col collapsed="false" customWidth="true" hidden="false" outlineLevel="0" max="11" min="11" style="0" width="11.43"/>
    <col collapsed="false" customWidth="true" hidden="false" outlineLevel="0" max="12" min="12" style="0" width="20.57"/>
    <col collapsed="false" customWidth="true" hidden="false" outlineLevel="0" max="13" min="13" style="0" width="12.57"/>
    <col collapsed="false" customWidth="true" hidden="false" outlineLevel="0" max="14" min="14" style="0" width="61.29"/>
    <col collapsed="false" customWidth="true" hidden="false" outlineLevel="0" max="15" min="15" style="0" width="15.14"/>
    <col collapsed="false" customWidth="true" hidden="false" outlineLevel="0" max="17" min="16" style="0" width="12.57"/>
    <col collapsed="false" customWidth="true" hidden="false" outlineLevel="0" max="18" min="18" style="0" width="4.28"/>
    <col collapsed="false" customWidth="true" hidden="false" outlineLevel="0" max="21" min="19" style="0" width="12.57"/>
    <col collapsed="false" customWidth="true" hidden="false" outlineLevel="0" max="22" min="22" style="0" width="25.72"/>
  </cols>
  <sheetData>
    <row r="1" customFormat="false" ht="15" hidden="false" customHeight="false" outlineLevel="0" collapsed="false">
      <c r="A1" s="0" t="s">
        <v>159</v>
      </c>
      <c r="B1" s="206" t="n">
        <v>1</v>
      </c>
      <c r="C1" s="0" t="s">
        <v>160</v>
      </c>
      <c r="D1" s="0" t="s">
        <v>161</v>
      </c>
      <c r="E1" s="0" t="s">
        <v>162</v>
      </c>
      <c r="F1" s="0" t="s">
        <v>163</v>
      </c>
      <c r="H1" s="207" t="s">
        <v>164</v>
      </c>
      <c r="I1" s="207" t="s">
        <v>159</v>
      </c>
      <c r="J1" s="207" t="s">
        <v>165</v>
      </c>
      <c r="K1" s="0" t="s">
        <v>166</v>
      </c>
      <c r="L1" s="0" t="s">
        <v>167</v>
      </c>
      <c r="N1" s="208" t="s">
        <v>168</v>
      </c>
      <c r="O1" s="208" t="s">
        <v>169</v>
      </c>
      <c r="P1" s="209"/>
      <c r="V1" s="0" t="s">
        <v>170</v>
      </c>
    </row>
    <row r="2" customFormat="false" ht="15" hidden="false" customHeight="false" outlineLevel="0" collapsed="false">
      <c r="A2" s="0" t="s">
        <v>165</v>
      </c>
      <c r="B2" s="206" t="n">
        <v>2</v>
      </c>
      <c r="C2" s="0" t="s">
        <v>171</v>
      </c>
      <c r="D2" s="0" t="s">
        <v>172</v>
      </c>
      <c r="E2" s="0" t="s">
        <v>173</v>
      </c>
      <c r="F2" s="0" t="s">
        <v>174</v>
      </c>
      <c r="H2" s="210"/>
      <c r="I2" s="210"/>
      <c r="J2" s="210"/>
      <c r="K2" s="0" t="s">
        <v>175</v>
      </c>
      <c r="L2" s="0" t="s">
        <v>176</v>
      </c>
      <c r="N2" s="209" t="s">
        <v>177</v>
      </c>
      <c r="O2" s="211" t="e">
        <f aca="true" t="array" ref="O2:O4">SUBSTITUTE(OFFSET(data_validation!$H$1,2, MATCH(data_entry!$B$3, data_validation!$H1:$J1,0)-1,3,1), 0, "")</f>
        <v>#N/A</v>
      </c>
      <c r="P2" s="209"/>
      <c r="V2" s="0" t="s">
        <v>178</v>
      </c>
    </row>
    <row r="3" customFormat="false" ht="15" hidden="false" customHeight="false" outlineLevel="0" collapsed="false">
      <c r="A3" s="0" t="s">
        <v>164</v>
      </c>
      <c r="B3" s="206" t="n">
        <v>3</v>
      </c>
      <c r="C3" s="0" t="s">
        <v>179</v>
      </c>
      <c r="D3" s="0" t="s">
        <v>180</v>
      </c>
      <c r="E3" s="0" t="s">
        <v>181</v>
      </c>
      <c r="G3" s="212" t="s">
        <v>182</v>
      </c>
      <c r="H3" s="207" t="s">
        <v>171</v>
      </c>
      <c r="I3" s="207" t="s">
        <v>160</v>
      </c>
      <c r="J3" s="207" t="s">
        <v>160</v>
      </c>
      <c r="N3" s="209"/>
      <c r="O3" s="0" t="e">
        <v>#N/A</v>
      </c>
      <c r="P3" s="209"/>
      <c r="V3" s="0" t="s">
        <v>183</v>
      </c>
    </row>
    <row r="4" customFormat="false" ht="15" hidden="false" customHeight="false" outlineLevel="0" collapsed="false">
      <c r="B4" s="206" t="n">
        <v>4</v>
      </c>
      <c r="E4" s="0" t="s">
        <v>184</v>
      </c>
      <c r="G4" s="212"/>
      <c r="H4" s="207" t="s">
        <v>160</v>
      </c>
      <c r="I4" s="207" t="s">
        <v>171</v>
      </c>
      <c r="J4" s="207" t="s">
        <v>171</v>
      </c>
      <c r="L4" s="213" t="n">
        <f aca="false">data_entry!B3</f>
        <v>0</v>
      </c>
      <c r="M4" s="0" t="s">
        <v>185</v>
      </c>
      <c r="N4" s="209"/>
      <c r="O4" s="0" t="e">
        <v>#N/A</v>
      </c>
      <c r="P4" s="209"/>
      <c r="V4" s="0" t="s">
        <v>186</v>
      </c>
    </row>
    <row r="5" customFormat="false" ht="15" hidden="false" customHeight="false" outlineLevel="0" collapsed="false">
      <c r="B5" s="206" t="n">
        <v>5</v>
      </c>
      <c r="E5" s="0" t="s">
        <v>187</v>
      </c>
      <c r="G5" s="212"/>
      <c r="H5" s="207"/>
      <c r="I5" s="207" t="s">
        <v>179</v>
      </c>
      <c r="J5" s="207" t="s">
        <v>179</v>
      </c>
      <c r="N5" s="209"/>
      <c r="P5" s="209"/>
      <c r="V5" s="0" t="s">
        <v>188</v>
      </c>
    </row>
    <row r="6" customFormat="false" ht="15" hidden="false" customHeight="false" outlineLevel="0" collapsed="false">
      <c r="B6" s="206" t="n">
        <v>6</v>
      </c>
      <c r="N6" s="214" t="s">
        <v>189</v>
      </c>
      <c r="O6" s="211" t="e">
        <f aca="true" t="array" ref="O6:O7">SUBSTITUTE(OFFSET(data_validation!$H$1,6, MATCH(data_entry!$B$3, data_validation!$H1:$J1,0)-1,2,1), 0, "")</f>
        <v>#N/A</v>
      </c>
      <c r="P6" s="209"/>
      <c r="V6" s="0" t="s">
        <v>190</v>
      </c>
    </row>
    <row r="7" customFormat="false" ht="15" hidden="false" customHeight="false" outlineLevel="0" collapsed="false">
      <c r="B7" s="206" t="n">
        <v>7</v>
      </c>
      <c r="G7" s="212" t="s">
        <v>191</v>
      </c>
      <c r="H7" s="215" t="s">
        <v>192</v>
      </c>
      <c r="I7" s="215" t="s">
        <v>172</v>
      </c>
      <c r="J7" s="215" t="s">
        <v>172</v>
      </c>
      <c r="N7" s="214"/>
      <c r="O7" s="0" t="e">
        <v>#N/A</v>
      </c>
      <c r="P7" s="209"/>
      <c r="V7" s="0" t="s">
        <v>193</v>
      </c>
    </row>
    <row r="8" customFormat="false" ht="15" hidden="false" customHeight="false" outlineLevel="0" collapsed="false">
      <c r="B8" s="206" t="n">
        <v>8</v>
      </c>
      <c r="G8" s="212"/>
      <c r="H8" s="215" t="s">
        <v>172</v>
      </c>
      <c r="I8" s="215" t="s">
        <v>180</v>
      </c>
      <c r="J8" s="215" t="s">
        <v>180</v>
      </c>
      <c r="N8" s="209"/>
      <c r="P8" s="209"/>
      <c r="V8" s="0" t="s">
        <v>194</v>
      </c>
    </row>
    <row r="9" customFormat="false" ht="15" hidden="false" customHeight="false" outlineLevel="0" collapsed="false">
      <c r="B9" s="206" t="n">
        <v>9</v>
      </c>
      <c r="G9" s="212"/>
      <c r="H9" s="215" t="s">
        <v>195</v>
      </c>
      <c r="I9" s="215"/>
      <c r="J9" s="215"/>
      <c r="N9" s="216" t="s">
        <v>196</v>
      </c>
      <c r="O9" s="211" t="e">
        <f aca="true" t="array" ref="O9:O13">SUBSTITUTE(OFFSET(data_validation!$H$1,9, MATCH(data_entry!$B$3, data_validation!$H1:$J1,0)-1,5,1), 0, "")</f>
        <v>#N/A</v>
      </c>
      <c r="P9" s="209"/>
      <c r="V9" s="0" t="s">
        <v>197</v>
      </c>
    </row>
    <row r="10" customFormat="false" ht="15" hidden="false" customHeight="false" outlineLevel="0" collapsed="false">
      <c r="B10" s="206" t="n">
        <v>10</v>
      </c>
      <c r="G10" s="212" t="s">
        <v>196</v>
      </c>
      <c r="H10" s="217" t="s">
        <v>198</v>
      </c>
      <c r="I10" s="217" t="s">
        <v>198</v>
      </c>
      <c r="J10" s="217" t="s">
        <v>199</v>
      </c>
      <c r="N10" s="216"/>
      <c r="O10" s="0" t="e">
        <v>#N/A</v>
      </c>
      <c r="P10" s="209"/>
      <c r="V10" s="0" t="s">
        <v>200</v>
      </c>
    </row>
    <row r="11" customFormat="false" ht="15" hidden="false" customHeight="false" outlineLevel="0" collapsed="false">
      <c r="B11" s="206" t="n">
        <v>11</v>
      </c>
      <c r="G11" s="212"/>
      <c r="H11" s="217" t="s">
        <v>201</v>
      </c>
      <c r="I11" s="217" t="s">
        <v>201</v>
      </c>
      <c r="J11" s="217" t="s">
        <v>202</v>
      </c>
      <c r="N11" s="216"/>
      <c r="O11" s="0" t="e">
        <v>#N/A</v>
      </c>
      <c r="P11" s="209"/>
      <c r="V11" s="0" t="s">
        <v>203</v>
      </c>
    </row>
    <row r="12" customFormat="false" ht="15" hidden="false" customHeight="false" outlineLevel="0" collapsed="false">
      <c r="B12" s="206" t="n">
        <v>12</v>
      </c>
      <c r="G12" s="212"/>
      <c r="H12" s="217" t="s">
        <v>199</v>
      </c>
      <c r="I12" s="217" t="s">
        <v>199</v>
      </c>
      <c r="J12" s="217" t="s">
        <v>89</v>
      </c>
      <c r="N12" s="216"/>
      <c r="O12" s="0" t="e">
        <v>#N/A</v>
      </c>
      <c r="P12" s="209"/>
      <c r="V12" s="0" t="s">
        <v>204</v>
      </c>
    </row>
    <row r="13" customFormat="false" ht="15" hidden="false" customHeight="false" outlineLevel="0" collapsed="false">
      <c r="B13" s="206" t="n">
        <v>13</v>
      </c>
      <c r="G13" s="212"/>
      <c r="H13" s="217" t="s">
        <v>202</v>
      </c>
      <c r="I13" s="217" t="s">
        <v>202</v>
      </c>
      <c r="J13" s="217" t="s">
        <v>205</v>
      </c>
      <c r="N13" s="216"/>
      <c r="O13" s="0" t="e">
        <v>#N/A</v>
      </c>
      <c r="P13" s="209"/>
      <c r="V13" s="0" t="s">
        <v>206</v>
      </c>
    </row>
    <row r="14" customFormat="false" ht="15" hidden="false" customHeight="false" outlineLevel="0" collapsed="false">
      <c r="B14" s="206" t="n">
        <v>14</v>
      </c>
      <c r="G14" s="212"/>
      <c r="H14" s="217" t="s">
        <v>89</v>
      </c>
      <c r="I14" s="217" t="s">
        <v>89</v>
      </c>
      <c r="J14" s="217"/>
      <c r="N14" s="209"/>
      <c r="P14" s="209"/>
      <c r="V14" s="0" t="s">
        <v>207</v>
      </c>
    </row>
    <row r="15" customFormat="false" ht="15" hidden="false" customHeight="true" outlineLevel="0" collapsed="false">
      <c r="B15" s="206" t="n">
        <v>15</v>
      </c>
      <c r="G15" s="212"/>
      <c r="H15" s="217" t="s">
        <v>205</v>
      </c>
      <c r="I15" s="217" t="s">
        <v>205</v>
      </c>
      <c r="J15" s="217"/>
      <c r="N15" s="218" t="s">
        <v>208</v>
      </c>
      <c r="O15" s="211" t="e">
        <f aca="true" t="array" ref="O15:O17">SUBSTITUTE(OFFSET(data_validation!$H$1,15, MATCH(data_entry!$B$3, data_validation!$H1:$J1,0)-1,3,1), 0, "")</f>
        <v>#N/A</v>
      </c>
      <c r="P15" s="209"/>
      <c r="V15" s="0" t="s">
        <v>209</v>
      </c>
    </row>
    <row r="16" customFormat="false" ht="15" hidden="false" customHeight="false" outlineLevel="0" collapsed="false">
      <c r="B16" s="206" t="n">
        <v>16</v>
      </c>
      <c r="G16" s="212" t="s">
        <v>208</v>
      </c>
      <c r="H16" s="0" t="s">
        <v>210</v>
      </c>
      <c r="I16" s="0" t="s">
        <v>210</v>
      </c>
      <c r="J16" s="0" t="s">
        <v>211</v>
      </c>
      <c r="N16" s="218"/>
      <c r="O16" s="0" t="e">
        <v>#N/A</v>
      </c>
      <c r="P16" s="209"/>
      <c r="V16" s="0" t="s">
        <v>212</v>
      </c>
    </row>
    <row r="17" customFormat="false" ht="15" hidden="false" customHeight="false" outlineLevel="0" collapsed="false">
      <c r="B17" s="206" t="n">
        <v>17</v>
      </c>
      <c r="G17" s="212"/>
      <c r="H17" s="0" t="s">
        <v>211</v>
      </c>
      <c r="I17" s="0" t="s">
        <v>213</v>
      </c>
      <c r="N17" s="218"/>
      <c r="O17" s="0" t="e">
        <v>#N/A</v>
      </c>
      <c r="P17" s="209"/>
      <c r="V17" s="0" t="s">
        <v>214</v>
      </c>
    </row>
    <row r="18" customFormat="false" ht="15" hidden="false" customHeight="false" outlineLevel="0" collapsed="false">
      <c r="B18" s="206" t="n">
        <v>18</v>
      </c>
      <c r="G18" s="212"/>
      <c r="I18" s="0" t="s">
        <v>211</v>
      </c>
      <c r="N18" s="219"/>
      <c r="O18" s="209"/>
      <c r="P18" s="209"/>
      <c r="V18" s="0" t="s">
        <v>215</v>
      </c>
    </row>
    <row r="19" customFormat="false" ht="15" hidden="false" customHeight="false" outlineLevel="0" collapsed="false">
      <c r="B19" s="206" t="n">
        <v>19</v>
      </c>
      <c r="G19" s="220"/>
      <c r="V19" s="0" t="s">
        <v>216</v>
      </c>
    </row>
    <row r="20" customFormat="false" ht="15" hidden="false" customHeight="false" outlineLevel="0" collapsed="false">
      <c r="B20" s="206" t="n">
        <v>20</v>
      </c>
      <c r="V20" s="0" t="s">
        <v>217</v>
      </c>
    </row>
    <row r="21" customFormat="false" ht="15" hidden="false" customHeight="false" outlineLevel="0" collapsed="false">
      <c r="B21" s="206" t="n">
        <v>21</v>
      </c>
      <c r="V21" s="0" t="s">
        <v>218</v>
      </c>
    </row>
    <row r="22" customFormat="false" ht="15" hidden="false" customHeight="false" outlineLevel="0" collapsed="false">
      <c r="B22" s="206" t="n">
        <v>22</v>
      </c>
      <c r="M22" s="210" t="s">
        <v>219</v>
      </c>
      <c r="N22" s="210"/>
      <c r="O22" s="210" t="s">
        <v>220</v>
      </c>
      <c r="P22" s="210"/>
      <c r="Q22" s="210"/>
      <c r="R22" s="210"/>
      <c r="S22" s="210" t="s">
        <v>221</v>
      </c>
      <c r="V22" s="0" t="s">
        <v>222</v>
      </c>
    </row>
    <row r="23" customFormat="false" ht="15" hidden="false" customHeight="false" outlineLevel="0" collapsed="false">
      <c r="B23" s="206" t="s">
        <v>223</v>
      </c>
      <c r="M23" s="221" t="s">
        <v>224</v>
      </c>
      <c r="N23" s="221"/>
      <c r="O23" s="221" t="s">
        <v>224</v>
      </c>
      <c r="P23" s="221"/>
      <c r="Q23" s="221"/>
      <c r="R23" s="221"/>
      <c r="S23" s="221" t="s">
        <v>224</v>
      </c>
      <c r="T23" s="221"/>
      <c r="V23" s="0" t="s">
        <v>225</v>
      </c>
    </row>
    <row r="24" customFormat="false" ht="15" hidden="false" customHeight="false" outlineLevel="0" collapsed="false">
      <c r="B24" s="206" t="s">
        <v>226</v>
      </c>
      <c r="M24" s="221" t="s">
        <v>227</v>
      </c>
      <c r="N24" s="221"/>
      <c r="O24" s="221" t="s">
        <v>228</v>
      </c>
      <c r="P24" s="221"/>
      <c r="Q24" s="221"/>
      <c r="R24" s="221"/>
      <c r="S24" s="221" t="s">
        <v>229</v>
      </c>
      <c r="T24" s="221"/>
      <c r="V24" s="0" t="s">
        <v>230</v>
      </c>
    </row>
    <row r="25" customFormat="false" ht="15" hidden="false" customHeight="false" outlineLevel="0" collapsed="false">
      <c r="M25" s="221" t="s">
        <v>231</v>
      </c>
      <c r="N25" s="221"/>
      <c r="O25" s="221" t="s">
        <v>232</v>
      </c>
      <c r="P25" s="221" t="s">
        <v>233</v>
      </c>
      <c r="S25" s="221" t="s">
        <v>232</v>
      </c>
      <c r="T25" s="221" t="s">
        <v>233</v>
      </c>
      <c r="V25" s="0" t="s">
        <v>234</v>
      </c>
    </row>
    <row r="26" customFormat="false" ht="15" hidden="false" customHeight="false" outlineLevel="0" collapsed="false">
      <c r="M26" s="221" t="s">
        <v>235</v>
      </c>
      <c r="N26" s="221"/>
      <c r="O26" s="221"/>
      <c r="P26" s="221" t="s">
        <v>236</v>
      </c>
      <c r="S26" s="221"/>
      <c r="T26" s="221" t="s">
        <v>236</v>
      </c>
      <c r="V26" s="0" t="s">
        <v>237</v>
      </c>
    </row>
    <row r="27" customFormat="false" ht="15" hidden="false" customHeight="false" outlineLevel="0" collapsed="false">
      <c r="M27" s="0" t="s">
        <v>238</v>
      </c>
      <c r="O27" s="221"/>
      <c r="P27" s="221" t="s">
        <v>239</v>
      </c>
      <c r="S27" s="221"/>
      <c r="T27" s="221" t="s">
        <v>239</v>
      </c>
      <c r="V27" s="0" t="s">
        <v>240</v>
      </c>
    </row>
    <row r="28" customFormat="false" ht="15" hidden="false" customHeight="false" outlineLevel="0" collapsed="false">
      <c r="O28" s="221"/>
      <c r="P28" s="221" t="s">
        <v>241</v>
      </c>
      <c r="S28" s="0" t="s">
        <v>242</v>
      </c>
      <c r="V28" s="0" t="s">
        <v>243</v>
      </c>
    </row>
    <row r="29" customFormat="false" ht="15" hidden="false" customHeight="false" outlineLevel="0" collapsed="false">
      <c r="O29" s="221"/>
      <c r="P29" s="221" t="s">
        <v>244</v>
      </c>
    </row>
    <row r="30" customFormat="false" ht="15" hidden="false" customHeight="false" outlineLevel="0" collapsed="false">
      <c r="O30" s="221" t="s">
        <v>245</v>
      </c>
      <c r="P30" s="221"/>
    </row>
  </sheetData>
  <mergeCells count="7">
    <mergeCell ref="G3:G5"/>
    <mergeCell ref="N6:N7"/>
    <mergeCell ref="G7:G9"/>
    <mergeCell ref="N9:N13"/>
    <mergeCell ref="G10:G15"/>
    <mergeCell ref="N15:N17"/>
    <mergeCell ref="G16:G18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LibreOffice/7.3.2.2$Linux_X86_64 LibreOffice_project/30$Build-2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2022-03-11T11:50:08Z</dcterms:created>
  <dc:creator>Smith Graeme</dc:creator>
  <dc:description/>
  <dc:language>en-GB</dc:language>
  <cp:lastModifiedBy/>
  <dcterms:modified xsi:type="dcterms:W3CDTF">2022-12-14T16:49:53Z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