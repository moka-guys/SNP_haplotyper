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vmlDrawing1.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ta_entry" sheetId="1" state="visible" r:id="rId2"/>
    <sheet name="Precase" sheetId="2" state="visible" r:id="rId3"/>
    <sheet name="Case" sheetId="3" state="visible" r:id="rId4"/>
    <sheet name="data_validation" sheetId="4" state="visible" r:id="rId5"/>
  </sheets>
  <definedNames>
    <definedName function="false" hidden="false" name="biopsy_number" vbProcedure="false">data_entry!$M$13</definedName>
    <definedName function="false" hidden="false" name="chromosome" vbProcedure="false">data_entry!$B$30</definedName>
    <definedName function="false" hidden="false" name="consanguineous" vbProcedure="false">data_entry!$H$15</definedName>
    <definedName function="false" hidden="false" name="de_novo" vbProcedure="false">data_entry!$H$17</definedName>
    <definedName function="false" hidden="false" name="disease" vbProcedure="false">data_entry!$B$16</definedName>
    <definedName function="false" hidden="false" name="disease_omim" vbProcedure="false">data_entry!$C$26</definedName>
    <definedName function="false" hidden="false" name="embryo_data" vbProcedure="false">data_entry!$J$23:$M$47</definedName>
    <definedName function="false" hidden="false" name="exclusion" vbProcedure="false">data_entry!$M$17</definedName>
    <definedName function="false" hidden="false" name="female_partner_hosp_num" vbProcedure="false">data_entry!$B$11</definedName>
    <definedName function="false" hidden="false" name="flanking_region_size" vbProcedure="false">data_entry!$B$34</definedName>
    <definedName function="false" hidden="false" name="gene" vbProcedure="false">data_entry!$B$26</definedName>
    <definedName function="false" hidden="false" name="gene_end" vbProcedure="false">data_entry!$C$32</definedName>
    <definedName function="false" hidden="false" name="gene_omim" vbProcedure="false">data_entry!$C$26</definedName>
    <definedName function="false" hidden="false" name="gene_start" vbProcedure="false">data_entry!$B$32</definedName>
    <definedName function="false" hidden="false" name="input_file" vbProcedure="false">data_entry!$M$11</definedName>
    <definedName function="false" hidden="false" name="maternal_mutation" vbProcedure="false">data_entry!$B$19</definedName>
    <definedName function="false" hidden="false" name="mode_of_inheritance" vbProcedure="false">data_entry!$B$3</definedName>
    <definedName function="false" hidden="false" name="multi_analysis" vbProcedure="false">data_entry!$B$14</definedName>
    <definedName function="false" hidden="false" name="partner1_details" vbProcedure="false">data_entry!$G$4:$M$4</definedName>
    <definedName function="false" hidden="false" name="partner2_details" vbProcedure="false">data_entry!$G$6:$M$6</definedName>
    <definedName function="false" hidden="false" name="paste_gene" vbProcedure="false">data_entry!$B$28</definedName>
    <definedName function="false" hidden="false" name="paternal_mutation" vbProcedure="false">data_entry!$B$20</definedName>
    <definedName function="false" hidden="false" name="pgd_worksheet" vbProcedure="false">data_entry!$B$5</definedName>
    <definedName function="false" hidden="false" name="pgd_worksheet_denovo" vbProcedure="false">data_entry!$B$12</definedName>
    <definedName function="false" hidden="false" name="pru" vbProcedure="false">data_entry!$B$10</definedName>
    <definedName function="false" hidden="false" name="reference" vbProcedure="false">data_entry!$H$8:$M$8</definedName>
    <definedName function="false" hidden="false" name="ref_relationship" vbProcedure="false">data_entry!$H$12</definedName>
    <definedName function="false" hidden="false" name="ref_relationship_to_couple" vbProcedure="false">data_entry!$H$13</definedName>
    <definedName function="false" hidden="false" name="ref_seq" vbProcedure="false">data_entry!$B$21</definedName>
    <definedName function="false" hidden="false" name="ref_status" vbProcedure="false">data_entry!$H$11</definedName>
    <definedName function="false" hidden="false" name="template_version" vbProcedure="false">data_entry!$B$37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A14" authorId="0">
      <text>
        <r>
          <rPr>
            <sz val="11"/>
            <color rgb="FF000000"/>
            <rFont val="Calibri"/>
            <family val="2"/>
            <charset val="1"/>
          </rPr>
          <t xml:space="preserve">Graeme Smith:
If pateint requires multiple analyses for different genes/modes of inheritance then a separate excel file will have to be created for each one.</t>
        </r>
      </text>
    </comment>
    <comment ref="G13" authorId="0">
      <text>
        <r>
          <rPr>
            <sz val="11"/>
            <color rgb="FF000000"/>
            <rFont val="Calibri"/>
            <family val="2"/>
            <charset val="1"/>
          </rPr>
          <t xml:space="preserve">The Reference relationship is measured from the relevant partner i.e. the embryo's grandfather would be recorded as 'father' in this field as this is the relationship to the relevant partner.</t>
        </r>
      </text>
    </comment>
    <comment ref="J22" authorId="0">
      <text>
        <r>
          <rPr>
            <sz val="11"/>
            <color rgb="FF000000"/>
            <rFont val="Calibri"/>
            <family val="2"/>
            <charset val="1"/>
          </rPr>
          <t xml:space="preserve">Graeme Smith:
Biopsy Number is Unique for each cycle</t>
        </r>
      </text>
    </comment>
    <comment ref="K22" authorId="0">
      <text>
        <r>
          <rPr>
            <sz val="11"/>
            <color rgb="FF000000"/>
            <rFont val="Calibri"/>
            <family val="2"/>
            <charset val="1"/>
          </rPr>
          <t xml:space="preserve">Graeme Smith:
In the format:
7AS_E1
7AS_E11</t>
        </r>
      </text>
    </comment>
    <comment ref="L11" authorId="0">
      <text>
        <r>
          <rPr>
            <sz val="11"/>
            <color rgb="FF000000"/>
            <rFont val="Calibri"/>
            <family val="2"/>
            <charset val="1"/>
          </rPr>
          <t xml:space="preserve">Name of the text file to be processed.  Files use have no suffix such as txt.</t>
        </r>
      </text>
    </comment>
    <comment ref="L13" authorId="0">
      <text>
        <r>
          <rPr>
            <sz val="11"/>
            <color rgb="FF000000"/>
            <rFont val="Calibri"/>
            <family val="2"/>
            <charset val="1"/>
          </rPr>
          <t xml:space="preserve">Multiple Biopsy Numbers may be entered in the 'Embryo Data' section representing different cycles, ONLY THE BIOPSY NUMBER HERE WILL BE INCLUDED IN THIS ANALYSIS</t>
        </r>
      </text>
    </comment>
    <comment ref="M22" authorId="0">
      <text>
        <r>
          <rPr>
            <sz val="11"/>
            <color rgb="FF000000"/>
            <rFont val="Calibri"/>
            <family val="2"/>
            <charset val="1"/>
          </rPr>
          <t xml:space="preserve">Graeme Smith:
Column name relating to the embryo from the input txt file.</t>
        </r>
      </text>
    </comment>
  </commentList>
</comments>
</file>

<file path=xl/sharedStrings.xml><?xml version="1.0" encoding="utf-8"?>
<sst xmlns="http://schemas.openxmlformats.org/spreadsheetml/2006/main" count="261" uniqueCount="190">
  <si>
    <t xml:space="preserve">Meta Data</t>
  </si>
  <si>
    <t xml:space="preserve">Sample Data</t>
  </si>
  <si>
    <t xml:space="preserve">Mode of Inheritance</t>
  </si>
  <si>
    <t xml:space="preserve">Sample Type:</t>
  </si>
  <si>
    <t xml:space="preserve">Sex:</t>
  </si>
  <si>
    <t xml:space="preserve">Forename:</t>
  </si>
  <si>
    <t xml:space="preserve">Surname:</t>
  </si>
  <si>
    <t xml:space="preserve">DOB:</t>
  </si>
  <si>
    <t xml:space="preserve">DNA No:</t>
  </si>
  <si>
    <t xml:space="preserve">Column Name:</t>
  </si>
  <si>
    <t xml:space="preserve">PGD worksheet:</t>
  </si>
  <si>
    <t xml:space="preserve">Additional Data</t>
  </si>
  <si>
    <t xml:space="preserve">Reference:</t>
  </si>
  <si>
    <t xml:space="preserve">PRU No: (family)</t>
  </si>
  <si>
    <t xml:space="preserve">Reference Details:</t>
  </si>
  <si>
    <t xml:space="preserve">Female partner Hospital No:</t>
  </si>
  <si>
    <t xml:space="preserve">ref_status:</t>
  </si>
  <si>
    <t xml:space="preserve">Input File Name:</t>
  </si>
  <si>
    <t xml:space="preserve">PGD worksheet (de novo)</t>
  </si>
  <si>
    <t xml:space="preserve">ref_relationship:</t>
  </si>
  <si>
    <t xml:space="preserve">ref_relationship_to_couple:</t>
  </si>
  <si>
    <t xml:space="preserve">Biopsy No for analysis:</t>
  </si>
  <si>
    <t xml:space="preserve">Multiple analysis for this patient?</t>
  </si>
  <si>
    <t xml:space="preserve">Samples with above Biopsy Number are run through the script</t>
  </si>
  <si>
    <t xml:space="preserve">consanguineous:</t>
  </si>
  <si>
    <t xml:space="preserve">Disease Name:</t>
  </si>
  <si>
    <t xml:space="preserve">Disease OMIM:</t>
  </si>
  <si>
    <t xml:space="preserve">de novo:</t>
  </si>
  <si>
    <t xml:space="preserve">Maternal mutation:</t>
  </si>
  <si>
    <t xml:space="preserve">Paternal mutation:</t>
  </si>
  <si>
    <t xml:space="preserve">Embryo Data</t>
  </si>
  <si>
    <t xml:space="preserve">Reference Seq:</t>
  </si>
  <si>
    <t xml:space="preserve">Biopsy No:</t>
  </si>
  <si>
    <t xml:space="preserve">Embryo ID:</t>
  </si>
  <si>
    <t xml:space="preserve">Embryo Sex:</t>
  </si>
  <si>
    <t xml:space="preserve">Gene of Interest</t>
  </si>
  <si>
    <t xml:space="preserve">Gene OMIM:</t>
  </si>
  <si>
    <t xml:space="preserve">Gene of Interest:</t>
  </si>
  <si>
    <t xml:space="preserve">Paste Genome Coordinate:</t>
  </si>
  <si>
    <t xml:space="preserve">Chromosome:</t>
  </si>
  <si>
    <t xml:space="preserve">Start</t>
  </si>
  <si>
    <t xml:space="preserve">End</t>
  </si>
  <si>
    <t xml:space="preserve">Genomic_range (GRCh38):</t>
  </si>
  <si>
    <t xml:space="preserve">Size, Flanking Region:</t>
  </si>
  <si>
    <t xml:space="preserve">MB</t>
  </si>
  <si>
    <t xml:space="preserve">(Default = 2MB)</t>
  </si>
  <si>
    <t xml:space="preserve">Template_version:</t>
  </si>
  <si>
    <t xml:space="preserve">V2.0.1</t>
  </si>
  <si>
    <t xml:space="preserve">QC metrics</t>
  </si>
  <si>
    <t xml:space="preserve">Check</t>
  </si>
  <si>
    <t xml:space="preserve">Scoring</t>
  </si>
  <si>
    <t xml:space="preserve">SNP array precase analysis checklist</t>
  </si>
  <si>
    <t xml:space="preserve">PGT-M run</t>
  </si>
  <si>
    <t xml:space="preserve">Sample name</t>
  </si>
  <si>
    <t xml:space="preserve">Genotyping QC call rate ≥98.5 for gDNAs</t>
  </si>
  <si>
    <t xml:space="preserve">Genotyping DQC ≥0.88</t>
  </si>
  <si>
    <t xml:space="preserve">Copy number MAPD ≤0.28</t>
  </si>
  <si>
    <t xml:space="preserve">Copy number SNP QC ≥10 for gDNAs</t>
  </si>
  <si>
    <t xml:space="preserve">Gender from QC summary</t>
  </si>
  <si>
    <t xml:space="preserve">Sufficient informative SNPs (&gt;10 per 2Mb flank)
low risk</t>
  </si>
  <si>
    <t xml:space="preserve">Sufficient informative SNPs (&gt;10 per 2Mb flank)
high risk</t>
  </si>
  <si>
    <t xml:space="preserve">Comments</t>
  </si>
  <si>
    <t xml:space="preserve">Operator</t>
  </si>
  <si>
    <t xml:space="preserve">Reg checker</t>
  </si>
  <si>
    <t xml:space="preserve">Precase</t>
  </si>
  <si>
    <t xml:space="preserve">Initials</t>
  </si>
  <si>
    <t xml:space="preserve">Date</t>
  </si>
  <si>
    <t xml:space="preserve">Family data entered / checked</t>
  </si>
  <si>
    <t xml:space="preserve">RHAS analysis completed</t>
  </si>
  <si>
    <t xml:space="preserve">Genotypes exported from MSV (3Mb flanking)</t>
  </si>
  <si>
    <t xml:space="preserve">Column names and input file name added / checked</t>
  </si>
  <si>
    <t xml:space="preserve">QC metrics recorded (from QC summary table)</t>
  </si>
  <si>
    <t xml:space="preserve">Sample gender entered / checked (from QC summary table)</t>
  </si>
  <si>
    <t xml:space="preserve">Precase PGT-M scored / checked</t>
  </si>
  <si>
    <t xml:space="preserve">Non-WISE reporting</t>
  </si>
  <si>
    <t xml:space="preserve">BASHer results PDF generated and saved</t>
  </si>
  <si>
    <t xml:space="preserve">GeneWorks report created / checked</t>
  </si>
  <si>
    <t xml:space="preserve">Key</t>
  </si>
  <si>
    <t xml:space="preserve">BASHer: Bi-Allelic SNP Haplotyper</t>
  </si>
  <si>
    <t xml:space="preserve">..\..\..\..\Current\PGD\pgd results\SNP array\Genotyping data from MSV &amp; ChAS detail view exports</t>
  </si>
  <si>
    <t xml:space="preserve">XL only</t>
  </si>
  <si>
    <t xml:space="preserve">Reporting</t>
  </si>
  <si>
    <t xml:space="preserve">SNP array case analysis checklist</t>
  </si>
  <si>
    <t xml:space="preserve">*If consanguineous, use PGT-M with LOH as Named Setting in ChAS, otherwise use PGT-M</t>
  </si>
  <si>
    <t xml:space="preserve">Genotyping QC call rate 
≥97.5 for embryos</t>
  </si>
  <si>
    <t xml:space="preserve">Copy number SNP QC ≥7 for embryos</t>
  </si>
  <si>
    <t xml:space="preserve">Gender from QC metric table</t>
  </si>
  <si>
    <t xml:space="preserve">PGT-M results</t>
  </si>
  <si>
    <t xml:space="preserve">PGT-A results  Log2, BAF, Allele difference</t>
  </si>
  <si>
    <t xml:space="preserve">Direct test results</t>
  </si>
  <si>
    <t xml:space="preserve">Manual inspection required for further SNPs</t>
  </si>
  <si>
    <t xml:space="preserve">Embryo status</t>
  </si>
  <si>
    <t xml:space="preserve">Embryo</t>
  </si>
  <si>
    <t xml:space="preserve">Biopsy diagnosis</t>
  </si>
  <si>
    <t xml:space="preserve">Suitable for transfer</t>
  </si>
  <si>
    <t xml:space="preserve">Case</t>
  </si>
  <si>
    <t xml:space="preserve">Column names added / checked</t>
  </si>
  <si>
    <t xml:space="preserve">QC metrics recorded (and embryo gender for XL only)</t>
  </si>
  <si>
    <t xml:space="preserve">PGT-A scored in ChAS*, results entered &amp; PDF exported / checked</t>
  </si>
  <si>
    <t xml:space="preserve">PGT-M scored &amp; results entered / checked</t>
  </si>
  <si>
    <t xml:space="preserve">First scorer</t>
  </si>
  <si>
    <t xml:space="preserve">Reg scorer</t>
  </si>
  <si>
    <t xml:space="preserve">BASH results PDF generated and saved</t>
  </si>
  <si>
    <t xml:space="preserve">Autosomal_Dominant</t>
  </si>
  <si>
    <t xml:space="preserve">Male</t>
  </si>
  <si>
    <t xml:space="preserve">Carrier (XL)</t>
  </si>
  <si>
    <t xml:space="preserve">grandfather</t>
  </si>
  <si>
    <t xml:space="preserve">maternal</t>
  </si>
  <si>
    <t xml:space="preserve">X-Linked</t>
  </si>
  <si>
    <t xml:space="preserve">Autosomal_Recessive</t>
  </si>
  <si>
    <t xml:space="preserve">Yes</t>
  </si>
  <si>
    <t xml:space="preserve">GRCh38</t>
  </si>
  <si>
    <t xml:space="preserve">Purpose</t>
  </si>
  <si>
    <t xml:space="preserve">Formula</t>
  </si>
  <si>
    <t xml:space="preserve">biopsy_number</t>
  </si>
  <si>
    <t xml:space="preserve">Female</t>
  </si>
  <si>
    <t xml:space="preserve">Affected</t>
  </si>
  <si>
    <t xml:space="preserve">grandmother</t>
  </si>
  <si>
    <t xml:space="preserve">paternal</t>
  </si>
  <si>
    <t xml:space="preserve">No</t>
  </si>
  <si>
    <t xml:space="preserve">GRCh37</t>
  </si>
  <si>
    <t xml:space="preserve">return permitted sex per mode of inheritance</t>
  </si>
  <si>
    <t xml:space="preserve">chromosome</t>
  </si>
  <si>
    <t xml:space="preserve">Unknown</t>
  </si>
  <si>
    <t xml:space="preserve">Unaffected</t>
  </si>
  <si>
    <t xml:space="preserve">cousin</t>
  </si>
  <si>
    <t xml:space="preserve">Ref Sex</t>
  </si>
  <si>
    <t xml:space="preserve">consanguineous</t>
  </si>
  <si>
    <t xml:space="preserve">uncle</t>
  </si>
  <si>
    <t xml:space="preserve">--&gt;</t>
  </si>
  <si>
    <t xml:space="preserve">de_novo</t>
  </si>
  <si>
    <t xml:space="preserve">aunt</t>
  </si>
  <si>
    <t xml:space="preserve">disease</t>
  </si>
  <si>
    <t xml:space="preserve">reference status</t>
  </si>
  <si>
    <t xml:space="preserve">disease_omim</t>
  </si>
  <si>
    <t xml:space="preserve">Status</t>
  </si>
  <si>
    <t xml:space="preserve">Carrier(XL)</t>
  </si>
  <si>
    <t xml:space="preserve">embryo_data</t>
  </si>
  <si>
    <t xml:space="preserve">exclusion</t>
  </si>
  <si>
    <t xml:space="preserve">Unaffected </t>
  </si>
  <si>
    <t xml:space="preserve">Relation</t>
  </si>
  <si>
    <t xml:space="preserve">female_partner_hosp_num</t>
  </si>
  <si>
    <t xml:space="preserve">Father</t>
  </si>
  <si>
    <t xml:space="preserve">Son</t>
  </si>
  <si>
    <t xml:space="preserve">gene</t>
  </si>
  <si>
    <t xml:space="preserve">Mother</t>
  </si>
  <si>
    <t xml:space="preserve">Daughter</t>
  </si>
  <si>
    <t xml:space="preserve">gene_end</t>
  </si>
  <si>
    <t xml:space="preserve">gene_omim</t>
  </si>
  <si>
    <t xml:space="preserve">Prenatal</t>
  </si>
  <si>
    <t xml:space="preserve">gene_start</t>
  </si>
  <si>
    <t xml:space="preserve">input_file</t>
  </si>
  <si>
    <t xml:space="preserve">Relationship</t>
  </si>
  <si>
    <t xml:space="preserve">maternal_mutation</t>
  </si>
  <si>
    <t xml:space="preserve">female_partner</t>
  </si>
  <si>
    <t xml:space="preserve">both</t>
  </si>
  <si>
    <t xml:space="preserve">mode_of_inheritance</t>
  </si>
  <si>
    <t xml:space="preserve">male_partner</t>
  </si>
  <si>
    <t xml:space="preserve">mult_analysis</t>
  </si>
  <si>
    <t xml:space="preserve">partner_details</t>
  </si>
  <si>
    <t xml:space="preserve">paste_gene</t>
  </si>
  <si>
    <t xml:space="preserve">paternal_mutation</t>
  </si>
  <si>
    <t xml:space="preserve">pgd_worksheet</t>
  </si>
  <si>
    <t xml:space="preserve">AR </t>
  </si>
  <si>
    <t xml:space="preserve">AD</t>
  </si>
  <si>
    <t xml:space="preserve">x-linked</t>
  </si>
  <si>
    <t xml:space="preserve">pgd_worksheet_denovo</t>
  </si>
  <si>
    <t xml:space="preserve">X</t>
  </si>
  <si>
    <t xml:space="preserve">Never unknown for partners sex</t>
  </si>
  <si>
    <t xml:space="preserve">pru</t>
  </si>
  <si>
    <t xml:space="preserve">Y</t>
  </si>
  <si>
    <t xml:space="preserve">Reference - AR - will never be carrier</t>
  </si>
  <si>
    <t xml:space="preserve">Reference - AD - will never be carrier</t>
  </si>
  <si>
    <t xml:space="preserve">Reference - always to the carrier female</t>
  </si>
  <si>
    <t xml:space="preserve">ref_relationship</t>
  </si>
  <si>
    <t xml:space="preserve">AR - reference - always a child/prenatal</t>
  </si>
  <si>
    <t xml:space="preserve">Relationship to affected partner</t>
  </si>
  <si>
    <t xml:space="preserve">father</t>
  </si>
  <si>
    <t xml:space="preserve">ref_relationship_to_couple</t>
  </si>
  <si>
    <t xml:space="preserve">AR reference always child - dropdown child/prenatal/embryo</t>
  </si>
  <si>
    <t xml:space="preserve">mother</t>
  </si>
  <si>
    <t xml:space="preserve">ref_seq</t>
  </si>
  <si>
    <t xml:space="preserve">Maternal/Paternal always child so not required</t>
  </si>
  <si>
    <t xml:space="preserve">son</t>
  </si>
  <si>
    <t xml:space="preserve">ref_status</t>
  </si>
  <si>
    <t xml:space="preserve">daughter</t>
  </si>
  <si>
    <t xml:space="preserve">Maternal - reference always Mat</t>
  </si>
  <si>
    <t xml:space="preserve">reference</t>
  </si>
  <si>
    <t xml:space="preserve">embryo</t>
  </si>
  <si>
    <t xml:space="preserve">Add box for Exclusion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</si>
</sst>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dd/mm/yy;@"/>
    <numFmt numFmtId="166" formatCode="dd/mm/yyyy"/>
    <numFmt numFmtId="167" formatCode="General"/>
  </numFmts>
  <fonts count="23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1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sz val="11"/>
      <color rgb="FF444444"/>
      <name val="Calibri"/>
      <family val="2"/>
      <charset val="1"/>
    </font>
    <font>
      <sz val="11"/>
      <color rgb="FFFF0000"/>
      <name val="Calibri"/>
      <family val="2"/>
      <charset val="1"/>
    </font>
    <font>
      <b val="true"/>
      <i val="true"/>
      <sz val="11"/>
      <color rgb="FF000000"/>
      <name val="Calibri"/>
      <family val="2"/>
      <charset val="1"/>
    </font>
    <font>
      <sz val="11"/>
      <name val="Calibri"/>
      <family val="2"/>
      <charset val="1"/>
    </font>
    <font>
      <b val="true"/>
      <sz val="11"/>
      <color rgb="FF000000"/>
      <name val="Arial"/>
      <family val="2"/>
      <charset val="1"/>
    </font>
    <font>
      <b val="true"/>
      <sz val="12"/>
      <color rgb="FF000000"/>
      <name val="Arial"/>
      <family val="2"/>
      <charset val="1"/>
    </font>
    <font>
      <b val="true"/>
      <sz val="12"/>
      <color rgb="FF0000FF"/>
      <name val="Arial"/>
      <family val="2"/>
      <charset val="1"/>
    </font>
    <font>
      <sz val="10"/>
      <color rgb="FF000000"/>
      <name val="Arial"/>
      <family val="2"/>
      <charset val="1"/>
    </font>
    <font>
      <b val="true"/>
      <sz val="10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sz val="10"/>
      <name val="Arial"/>
      <family val="2"/>
      <charset val="1"/>
    </font>
    <font>
      <b val="true"/>
      <sz val="10"/>
      <color rgb="FF0000FF"/>
      <name val="Arial"/>
      <family val="2"/>
      <charset val="1"/>
    </font>
    <font>
      <b val="true"/>
      <sz val="10"/>
      <color rgb="FFFF0000"/>
      <name val="Arial"/>
      <family val="2"/>
      <charset val="1"/>
    </font>
    <font>
      <sz val="10"/>
      <color rgb="FFFF0000"/>
      <name val="Arial"/>
      <family val="2"/>
      <charset val="1"/>
    </font>
    <font>
      <sz val="11"/>
      <color rgb="FFFFFFFF"/>
      <name val="Calibri"/>
      <family val="2"/>
      <charset val="1"/>
    </font>
  </fonts>
  <fills count="27">
    <fill>
      <patternFill patternType="none"/>
    </fill>
    <fill>
      <patternFill patternType="gray125"/>
    </fill>
    <fill>
      <patternFill patternType="solid">
        <fgColor rgb="FFBF8F00"/>
        <bgColor rgb="FFC65911"/>
      </patternFill>
    </fill>
    <fill>
      <patternFill patternType="solid">
        <fgColor rgb="FF2F75B5"/>
        <bgColor rgb="FF4472C4"/>
      </patternFill>
    </fill>
    <fill>
      <patternFill patternType="solid">
        <fgColor rgb="FFFFD966"/>
        <bgColor rgb="FFF4B084"/>
      </patternFill>
    </fill>
    <fill>
      <patternFill patternType="solid">
        <fgColor rgb="FF9BC2E6"/>
        <bgColor rgb="FF9DC3E6"/>
      </patternFill>
    </fill>
    <fill>
      <patternFill patternType="solid">
        <fgColor rgb="FFFFFF00"/>
        <bgColor rgb="FFFFFF00"/>
      </patternFill>
    </fill>
    <fill>
      <patternFill patternType="solid">
        <fgColor rgb="FF00B050"/>
        <bgColor rgb="FF008080"/>
      </patternFill>
    </fill>
    <fill>
      <patternFill patternType="solid">
        <fgColor rgb="FF757171"/>
        <bgColor rgb="FF666699"/>
      </patternFill>
    </fill>
    <fill>
      <patternFill patternType="solid">
        <fgColor rgb="FF4472C4"/>
        <bgColor rgb="FF2F75B5"/>
      </patternFill>
    </fill>
    <fill>
      <patternFill patternType="solid">
        <fgColor rgb="FFD0CECE"/>
        <bgColor rgb="FFBFBFBF"/>
      </patternFill>
    </fill>
    <fill>
      <patternFill patternType="solid">
        <fgColor rgb="FFC5E0B4"/>
        <bgColor rgb="FFD0CECE"/>
      </patternFill>
    </fill>
    <fill>
      <patternFill patternType="solid">
        <fgColor rgb="FFFFFFFF"/>
        <bgColor rgb="FFFFFFCC"/>
      </patternFill>
    </fill>
    <fill>
      <patternFill patternType="solid">
        <fgColor rgb="FF9DC3E6"/>
        <bgColor rgb="FF9BC2E6"/>
      </patternFill>
    </fill>
    <fill>
      <patternFill patternType="solid">
        <fgColor rgb="FFC65911"/>
        <bgColor rgb="FF993300"/>
      </patternFill>
    </fill>
    <fill>
      <patternFill patternType="solid">
        <fgColor rgb="FFF4B084"/>
        <bgColor rgb="FFFFD966"/>
      </patternFill>
    </fill>
    <fill>
      <patternFill patternType="solid">
        <fgColor rgb="FF92D050"/>
        <bgColor rgb="FFA9D08E"/>
      </patternFill>
    </fill>
    <fill>
      <patternFill patternType="solid">
        <fgColor rgb="FF548235"/>
        <bgColor rgb="FF757171"/>
      </patternFill>
    </fill>
    <fill>
      <patternFill patternType="solid">
        <fgColor rgb="FFA9D08E"/>
        <bgColor rgb="FFA9D18E"/>
      </patternFill>
    </fill>
    <fill>
      <patternFill patternType="solid">
        <fgColor rgb="FFA9D18E"/>
        <bgColor rgb="FFA9D08E"/>
      </patternFill>
    </fill>
    <fill>
      <patternFill patternType="solid">
        <fgColor rgb="FFE7E6E6"/>
        <bgColor rgb="FFCCECFF"/>
      </patternFill>
    </fill>
    <fill>
      <patternFill patternType="solid">
        <fgColor rgb="FFFFF2CC"/>
        <bgColor rgb="FFFFFFCC"/>
      </patternFill>
    </fill>
    <fill>
      <patternFill patternType="solid">
        <fgColor rgb="FFFFFFCC"/>
        <bgColor rgb="FFFFF2CC"/>
      </patternFill>
    </fill>
    <fill>
      <patternFill patternType="solid">
        <fgColor rgb="FFBFBFBF"/>
        <bgColor rgb="FFD0CECE"/>
      </patternFill>
    </fill>
    <fill>
      <patternFill patternType="solid">
        <fgColor rgb="FFCCECFF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AEAAAA"/>
        <bgColor rgb="FFBFBFBF"/>
      </patternFill>
    </fill>
  </fills>
  <borders count="8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ck">
        <color rgb="FFFF0000"/>
      </right>
      <top/>
      <bottom/>
      <diagonal/>
    </border>
    <border diagonalUp="false" diagonalDown="false"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 diagonalUp="false" diagonalDown="false">
      <left/>
      <right/>
      <top style="thick">
        <color rgb="FFFF0000"/>
      </top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2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5" fillId="4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6" borderId="3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5" fillId="4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4" borderId="4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5" fontId="0" fillId="0" borderId="5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7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5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7" fillId="8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9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7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1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1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5" fillId="11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12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6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5" fillId="1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9" fillId="0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0" fillId="6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13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14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15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15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15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1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11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6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17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18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18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19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1" fillId="12" borderId="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9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19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4" fillId="18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18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8" fillId="2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1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20" borderId="5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19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6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2" fillId="21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2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6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7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7" fillId="21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21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2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8" fillId="21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8" fillId="22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8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19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15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8" fillId="2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5" fillId="2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1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8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2" fillId="11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24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11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4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24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24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7" fillId="0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1" fillId="0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8" fillId="11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5" fillId="22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5" fillId="22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5" fillId="4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5" fillId="24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24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8" fillId="22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5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4" fillId="25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25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7" fontId="8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22" fillId="25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25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26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25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16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25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25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3">
    <dxf>
      <font>
        <b val="1"/>
      </font>
      <fill>
        <patternFill>
          <bgColor rgb="00FFFFFF"/>
        </patternFill>
      </fill>
    </dxf>
    <dxf>
      <font>
        <color rgb="FF000000"/>
      </font>
      <fill>
        <patternFill>
          <bgColor rgb="00FFFFFF"/>
        </patternFill>
      </fill>
      <border diagonalUp="false" diagonalDown="false">
        <left style="thin"/>
        <right style="thin"/>
        <top style="thin"/>
        <bottom style="thin"/>
        <diagonal/>
      </border>
    </dxf>
    <dxf>
      <fill>
        <patternFill>
          <bgColor rgb="00FFFF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800080"/>
      <rgbColor rgb="FF008080"/>
      <rgbColor rgb="FFBFBFBF"/>
      <rgbColor rgb="FF757171"/>
      <rgbColor rgb="FF9BC2E6"/>
      <rgbColor rgb="FF993366"/>
      <rgbColor rgb="FFFFFFCC"/>
      <rgbColor rgb="FFCCECFF"/>
      <rgbColor rgb="FF660066"/>
      <rgbColor rgb="FFFF8080"/>
      <rgbColor rgb="FF2F75B5"/>
      <rgbColor rgb="FFD0CEC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7E6E6"/>
      <rgbColor rgb="FFC5E0B4"/>
      <rgbColor rgb="FFFFF2CC"/>
      <rgbColor rgb="FF9DC3E6"/>
      <rgbColor rgb="FFF4B084"/>
      <rgbColor rgb="FFA9D08E"/>
      <rgbColor rgb="FFFFD966"/>
      <rgbColor rgb="FF4472C4"/>
      <rgbColor rgb="FF33CCCC"/>
      <rgbColor rgb="FF92D050"/>
      <rgbColor rgb="FFA9D18E"/>
      <rgbColor rgb="FFBF8F00"/>
      <rgbColor rgb="FFC65911"/>
      <rgbColor rgb="FF666699"/>
      <rgbColor rgb="FFAEAAAA"/>
      <rgbColor rgb="FF003366"/>
      <rgbColor rgb="FF00B050"/>
      <rgbColor rgb="FF003300"/>
      <rgbColor rgb="FF333300"/>
      <rgbColor rgb="FF993300"/>
      <rgbColor rgb="FF993366"/>
      <rgbColor rgb="FF333399"/>
      <rgbColor rgb="FF444444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vmlDrawing" Target="../drawings/vmlDrawing1.v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../../../../../../Current/PGD/pgd%20results/SNP%20array/Genotyping%20data%20from%20MSV%20&amp;%20ChAS%20detail%20view%20exports" TargetMode="Externa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hyperlink" Target="../../../../../../Current/PGD/pgd%20results/SNP%20array/Genotyping%20data%20from%20MSV%20&amp;%20ChAS%20detail%20view%20exports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N48"/>
  <sheetViews>
    <sheetView showFormulas="false" showGridLines="true" showRowColHeaders="true" showZeros="true" rightToLeft="false" tabSelected="true" showOutlineSymbols="true" defaultGridColor="true" view="normal" topLeftCell="A1" colorId="64" zoomScale="75" zoomScaleNormal="75" zoomScalePageLayoutView="100" workbookViewId="0">
      <selection pane="topLeft" activeCell="G27" activeCellId="0" sqref="G27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30.86"/>
    <col collapsed="false" customWidth="true" hidden="false" outlineLevel="0" max="2" min="2" style="1" width="30.57"/>
    <col collapsed="false" customWidth="true" hidden="false" outlineLevel="0" max="3" min="3" style="1" width="23.57"/>
    <col collapsed="false" customWidth="false" hidden="false" outlineLevel="0" max="4" min="4" style="1" width="9.14"/>
    <col collapsed="false" customWidth="true" hidden="false" outlineLevel="0" max="5" min="5" style="1" width="8.43"/>
    <col collapsed="false" customWidth="true" hidden="false" outlineLevel="0" max="6" min="6" style="1" width="6.14"/>
    <col collapsed="false" customWidth="true" hidden="false" outlineLevel="0" max="7" min="7" style="1" width="27.85"/>
    <col collapsed="false" customWidth="true" hidden="false" outlineLevel="0" max="10" min="8" style="1" width="17.14"/>
    <col collapsed="false" customWidth="true" hidden="false" outlineLevel="0" max="11" min="11" style="1" width="12.28"/>
    <col collapsed="false" customWidth="true" hidden="false" outlineLevel="0" max="12" min="12" style="1" width="12.43"/>
    <col collapsed="false" customWidth="true" hidden="false" outlineLevel="0" max="13" min="13" style="1" width="40.43"/>
    <col collapsed="false" customWidth="true" hidden="false" outlineLevel="0" max="14" min="14" style="1" width="6.57"/>
    <col collapsed="false" customWidth="true" hidden="false" outlineLevel="0" max="15" min="15" style="1" width="7.71"/>
    <col collapsed="false" customWidth="true" hidden="false" outlineLevel="0" max="16" min="16" style="1" width="6.28"/>
    <col collapsed="false" customWidth="true" hidden="false" outlineLevel="0" max="17" min="17" style="1" width="11.28"/>
    <col collapsed="false" customWidth="true" hidden="false" outlineLevel="0" max="19" min="18" style="1" width="17.14"/>
    <col collapsed="false" customWidth="true" hidden="false" outlineLevel="0" max="20" min="20" style="1" width="48.43"/>
    <col collapsed="false" customWidth="true" hidden="false" outlineLevel="0" max="21" min="21" style="1" width="6.28"/>
    <col collapsed="false" customWidth="false" hidden="false" outlineLevel="0" max="1024" min="22" style="1" width="9.14"/>
  </cols>
  <sheetData>
    <row r="1" customFormat="false" ht="14.25" hidden="false" customHeight="true" outlineLevel="0" collapsed="false">
      <c r="A1" s="2" t="s">
        <v>0</v>
      </c>
      <c r="B1" s="2"/>
      <c r="C1" s="2"/>
      <c r="D1" s="2"/>
      <c r="F1" s="3" t="s">
        <v>1</v>
      </c>
      <c r="G1" s="3"/>
      <c r="H1" s="3"/>
      <c r="I1" s="3"/>
      <c r="J1" s="3"/>
      <c r="K1" s="3"/>
      <c r="L1" s="3"/>
      <c r="M1" s="3"/>
      <c r="N1" s="3"/>
    </row>
    <row r="2" customFormat="false" ht="14.25" hidden="false" customHeight="true" outlineLevel="0" collapsed="false">
      <c r="A2" s="4"/>
      <c r="B2" s="4"/>
      <c r="C2" s="4" t="str">
        <f aca="false">IF($B$3 ="X-Linked", "Dominant or Recessive?", "")</f>
        <v/>
      </c>
      <c r="D2" s="4"/>
      <c r="F2" s="5"/>
      <c r="G2" s="5"/>
      <c r="H2" s="6"/>
      <c r="I2" s="5"/>
      <c r="J2" s="5"/>
      <c r="K2" s="5"/>
      <c r="L2" s="5"/>
      <c r="M2" s="5"/>
      <c r="N2" s="5"/>
    </row>
    <row r="3" customFormat="false" ht="14.25" hidden="false" customHeight="true" outlineLevel="0" collapsed="false">
      <c r="A3" s="7" t="s">
        <v>2</v>
      </c>
      <c r="B3" s="8"/>
      <c r="C3" s="9"/>
      <c r="D3" s="9"/>
      <c r="F3" s="5"/>
      <c r="G3" s="6" t="s">
        <v>3</v>
      </c>
      <c r="H3" s="6" t="s">
        <v>4</v>
      </c>
      <c r="I3" s="6" t="s">
        <v>5</v>
      </c>
      <c r="J3" s="6" t="s">
        <v>6</v>
      </c>
      <c r="K3" s="6" t="s">
        <v>7</v>
      </c>
      <c r="L3" s="6" t="s">
        <v>8</v>
      </c>
      <c r="M3" s="6" t="s">
        <v>9</v>
      </c>
      <c r="N3" s="6"/>
    </row>
    <row r="4" customFormat="false" ht="14.25" hidden="false" customHeight="true" outlineLevel="0" collapsed="false">
      <c r="A4" s="10"/>
      <c r="B4" s="11"/>
      <c r="C4" s="9"/>
      <c r="D4" s="9"/>
      <c r="F4" s="5"/>
      <c r="G4" s="12"/>
      <c r="H4" s="12"/>
      <c r="I4" s="13"/>
      <c r="J4" s="13"/>
      <c r="K4" s="14"/>
      <c r="L4" s="13"/>
      <c r="M4" s="15"/>
      <c r="N4" s="5"/>
    </row>
    <row r="5" customFormat="false" ht="14.25" hidden="false" customHeight="true" outlineLevel="0" collapsed="false">
      <c r="A5" s="10" t="s">
        <v>10</v>
      </c>
      <c r="B5" s="12"/>
      <c r="C5" s="9"/>
      <c r="D5" s="9"/>
      <c r="F5" s="5"/>
      <c r="G5" s="5"/>
      <c r="H5" s="6"/>
      <c r="I5" s="5"/>
      <c r="J5" s="5"/>
      <c r="K5" s="5"/>
      <c r="L5" s="5"/>
      <c r="M5" s="16"/>
      <c r="N5" s="5"/>
    </row>
    <row r="6" customFormat="false" ht="14.25" hidden="false" customHeight="true" outlineLevel="0" collapsed="false">
      <c r="A6" s="17"/>
      <c r="B6" s="9"/>
      <c r="C6" s="9"/>
      <c r="D6" s="9"/>
      <c r="F6" s="5"/>
      <c r="G6" s="12"/>
      <c r="H6" s="12"/>
      <c r="I6" s="13"/>
      <c r="J6" s="13"/>
      <c r="K6" s="14"/>
      <c r="L6" s="13"/>
      <c r="M6" s="15"/>
      <c r="N6" s="5"/>
    </row>
    <row r="7" customFormat="false" ht="14.25" hidden="false" customHeight="true" outlineLevel="0" collapsed="false">
      <c r="F7" s="5"/>
      <c r="G7" s="5"/>
      <c r="H7" s="6"/>
      <c r="I7" s="5"/>
      <c r="J7" s="5"/>
      <c r="K7" s="5"/>
      <c r="L7" s="5"/>
      <c r="M7" s="16"/>
      <c r="N7" s="5"/>
    </row>
    <row r="8" customFormat="false" ht="14.25" hidden="false" customHeight="true" outlineLevel="0" collapsed="false">
      <c r="A8" s="18" t="s">
        <v>11</v>
      </c>
      <c r="B8" s="18"/>
      <c r="C8" s="18"/>
      <c r="D8" s="18"/>
      <c r="F8" s="5"/>
      <c r="G8" s="19" t="s">
        <v>12</v>
      </c>
      <c r="H8" s="12"/>
      <c r="I8" s="12"/>
      <c r="J8" s="12"/>
      <c r="K8" s="20"/>
      <c r="L8" s="12"/>
      <c r="M8" s="15"/>
      <c r="N8" s="5"/>
    </row>
    <row r="9" customFormat="false" ht="14.25" hidden="false" customHeight="true" outlineLevel="0" collapsed="false">
      <c r="A9" s="21"/>
      <c r="B9" s="21"/>
      <c r="C9" s="21"/>
      <c r="D9" s="21"/>
      <c r="F9" s="5"/>
      <c r="G9" s="6"/>
      <c r="H9" s="5"/>
      <c r="I9" s="5"/>
      <c r="J9" s="5"/>
      <c r="K9" s="5"/>
      <c r="L9" s="5"/>
      <c r="M9" s="16"/>
      <c r="N9" s="5"/>
    </row>
    <row r="10" customFormat="false" ht="14.25" hidden="false" customHeight="true" outlineLevel="0" collapsed="false">
      <c r="A10" s="22" t="s">
        <v>13</v>
      </c>
      <c r="B10" s="12"/>
      <c r="C10" s="23"/>
      <c r="D10" s="24"/>
      <c r="F10" s="5"/>
      <c r="G10" s="6" t="s">
        <v>14</v>
      </c>
      <c r="H10" s="5"/>
      <c r="I10" s="5"/>
      <c r="J10" s="5"/>
      <c r="K10" s="5"/>
      <c r="L10" s="5"/>
      <c r="M10" s="5"/>
      <c r="N10" s="5"/>
    </row>
    <row r="11" customFormat="false" ht="14.25" hidden="false" customHeight="true" outlineLevel="0" collapsed="false">
      <c r="A11" s="22" t="s">
        <v>15</v>
      </c>
      <c r="B11" s="25"/>
      <c r="C11" s="24"/>
      <c r="D11" s="24"/>
      <c r="F11" s="5"/>
      <c r="G11" s="19" t="s">
        <v>16</v>
      </c>
      <c r="H11" s="12"/>
      <c r="I11" s="5"/>
      <c r="J11" s="5"/>
      <c r="K11" s="26"/>
      <c r="L11" s="27" t="s">
        <v>17</v>
      </c>
      <c r="M11" s="15"/>
      <c r="N11" s="5"/>
    </row>
    <row r="12" customFormat="false" ht="14.25" hidden="false" customHeight="true" outlineLevel="0" collapsed="false">
      <c r="A12" s="22" t="s">
        <v>18</v>
      </c>
      <c r="B12" s="28"/>
      <c r="C12" s="24"/>
      <c r="D12" s="24"/>
      <c r="F12" s="5"/>
      <c r="G12" s="19" t="s">
        <v>19</v>
      </c>
      <c r="H12" s="25"/>
      <c r="I12" s="5"/>
      <c r="J12" s="5"/>
      <c r="K12" s="26"/>
      <c r="L12" s="26"/>
      <c r="M12" s="26"/>
      <c r="N12" s="5"/>
    </row>
    <row r="13" customFormat="false" ht="14.25" hidden="false" customHeight="true" outlineLevel="0" collapsed="false">
      <c r="A13" s="29"/>
      <c r="B13" s="24"/>
      <c r="C13" s="24"/>
      <c r="D13" s="24"/>
      <c r="F13" s="5"/>
      <c r="G13" s="19" t="s">
        <v>20</v>
      </c>
      <c r="H13" s="12"/>
      <c r="I13" s="5"/>
      <c r="J13" s="5"/>
      <c r="K13" s="26"/>
      <c r="L13" s="27" t="s">
        <v>21</v>
      </c>
      <c r="M13" s="12"/>
      <c r="N13" s="5"/>
    </row>
    <row r="14" customFormat="false" ht="14.25" hidden="false" customHeight="true" outlineLevel="0" collapsed="false">
      <c r="A14" s="22" t="s">
        <v>22</v>
      </c>
      <c r="B14" s="30"/>
      <c r="C14" s="24"/>
      <c r="D14" s="24"/>
      <c r="F14" s="5"/>
      <c r="G14" s="5"/>
      <c r="H14" s="5"/>
      <c r="I14" s="5"/>
      <c r="J14" s="5"/>
      <c r="K14" s="26"/>
      <c r="L14" s="26" t="s">
        <v>23</v>
      </c>
      <c r="M14" s="26"/>
      <c r="N14" s="5"/>
    </row>
    <row r="15" customFormat="false" ht="14.25" hidden="false" customHeight="true" outlineLevel="0" collapsed="false">
      <c r="A15" s="22"/>
      <c r="B15" s="24"/>
      <c r="C15" s="24"/>
      <c r="D15" s="24"/>
      <c r="F15" s="5"/>
      <c r="G15" s="31" t="s">
        <v>24</v>
      </c>
      <c r="H15" s="12"/>
      <c r="I15" s="5"/>
      <c r="J15" s="5"/>
      <c r="K15" s="5"/>
      <c r="L15" s="5"/>
      <c r="M15" s="5"/>
      <c r="N15" s="5"/>
    </row>
    <row r="16" customFormat="false" ht="14.25" hidden="false" customHeight="true" outlineLevel="0" collapsed="false">
      <c r="A16" s="32" t="s">
        <v>25</v>
      </c>
      <c r="B16" s="33"/>
      <c r="C16" s="24"/>
      <c r="D16" s="24"/>
      <c r="F16" s="5"/>
      <c r="G16" s="34"/>
      <c r="H16" s="5"/>
      <c r="I16" s="5"/>
      <c r="J16" s="5"/>
      <c r="K16" s="5"/>
      <c r="L16" s="5"/>
      <c r="M16" s="5"/>
      <c r="N16" s="5"/>
    </row>
    <row r="17" customFormat="false" ht="14.25" hidden="false" customHeight="true" outlineLevel="0" collapsed="false">
      <c r="A17" s="32" t="s">
        <v>26</v>
      </c>
      <c r="B17" s="35"/>
      <c r="C17" s="24"/>
      <c r="D17" s="24"/>
      <c r="F17" s="5"/>
      <c r="G17" s="36" t="s">
        <v>27</v>
      </c>
      <c r="H17" s="12"/>
      <c r="I17" s="5"/>
      <c r="J17" s="5"/>
      <c r="K17" s="5"/>
      <c r="L17" s="37" t="str">
        <f aca="false">IF(B3 ="Autosomal_Dominant", "Exclusion?", "")</f>
        <v/>
      </c>
      <c r="M17" s="5"/>
      <c r="N17" s="5"/>
    </row>
    <row r="18" customFormat="false" ht="14.25" hidden="false" customHeight="true" outlineLevel="0" collapsed="false">
      <c r="A18" s="22"/>
      <c r="B18" s="24"/>
      <c r="C18" s="24"/>
      <c r="D18" s="24"/>
      <c r="F18" s="5"/>
      <c r="G18" s="5"/>
      <c r="H18" s="5"/>
      <c r="I18" s="5"/>
      <c r="J18" s="5"/>
      <c r="K18" s="5"/>
      <c r="L18" s="5"/>
      <c r="M18" s="5"/>
      <c r="N18" s="5"/>
    </row>
    <row r="19" customFormat="false" ht="14.25" hidden="false" customHeight="true" outlineLevel="0" collapsed="false">
      <c r="A19" s="22" t="s">
        <v>28</v>
      </c>
      <c r="B19" s="38"/>
      <c r="C19" s="24"/>
      <c r="D19" s="24"/>
    </row>
    <row r="20" customFormat="false" ht="14.25" hidden="false" customHeight="true" outlineLevel="0" collapsed="false">
      <c r="A20" s="22" t="s">
        <v>29</v>
      </c>
      <c r="B20" s="38"/>
      <c r="C20" s="24"/>
      <c r="D20" s="24"/>
      <c r="I20" s="39" t="s">
        <v>30</v>
      </c>
      <c r="J20" s="39"/>
      <c r="K20" s="39"/>
      <c r="L20" s="39"/>
      <c r="M20" s="39"/>
      <c r="N20" s="39"/>
    </row>
    <row r="21" customFormat="false" ht="14.25" hidden="false" customHeight="true" outlineLevel="0" collapsed="false">
      <c r="A21" s="22" t="s">
        <v>31</v>
      </c>
      <c r="B21" s="38"/>
      <c r="C21" s="23"/>
      <c r="D21" s="24"/>
      <c r="I21" s="40"/>
      <c r="J21" s="41"/>
      <c r="K21" s="42"/>
      <c r="L21" s="42"/>
      <c r="M21" s="42"/>
      <c r="N21" s="42"/>
    </row>
    <row r="22" customFormat="false" ht="14.25" hidden="false" customHeight="true" outlineLevel="0" collapsed="false">
      <c r="A22" s="43"/>
      <c r="B22" s="24"/>
      <c r="C22" s="24"/>
      <c r="D22" s="24"/>
      <c r="I22" s="42"/>
      <c r="J22" s="41" t="s">
        <v>32</v>
      </c>
      <c r="K22" s="41" t="s">
        <v>33</v>
      </c>
      <c r="L22" s="41" t="s">
        <v>34</v>
      </c>
      <c r="M22" s="41" t="s">
        <v>9</v>
      </c>
      <c r="N22" s="42"/>
    </row>
    <row r="23" customFormat="false" ht="14.25" hidden="false" customHeight="true" outlineLevel="0" collapsed="false">
      <c r="I23" s="41"/>
      <c r="J23" s="44"/>
      <c r="K23" s="44"/>
      <c r="L23" s="45"/>
      <c r="M23" s="15"/>
      <c r="N23" s="42"/>
    </row>
    <row r="24" customFormat="false" ht="14.25" hidden="false" customHeight="true" outlineLevel="0" collapsed="false">
      <c r="A24" s="46" t="s">
        <v>35</v>
      </c>
      <c r="B24" s="46"/>
      <c r="C24" s="46"/>
      <c r="D24" s="46"/>
      <c r="I24" s="41"/>
      <c r="J24" s="44"/>
      <c r="K24" s="44"/>
      <c r="L24" s="45"/>
      <c r="M24" s="15"/>
      <c r="N24" s="42"/>
    </row>
    <row r="25" customFormat="false" ht="14.25" hidden="false" customHeight="true" outlineLevel="0" collapsed="false">
      <c r="A25" s="47"/>
      <c r="B25" s="48"/>
      <c r="C25" s="47" t="s">
        <v>36</v>
      </c>
      <c r="D25" s="48"/>
      <c r="I25" s="41"/>
      <c r="J25" s="44"/>
      <c r="K25" s="44"/>
      <c r="L25" s="45"/>
      <c r="M25" s="15"/>
      <c r="N25" s="42"/>
    </row>
    <row r="26" customFormat="false" ht="14.25" hidden="false" customHeight="true" outlineLevel="0" collapsed="false">
      <c r="A26" s="49" t="s">
        <v>37</v>
      </c>
      <c r="B26" s="50"/>
      <c r="C26" s="51"/>
      <c r="D26" s="52"/>
      <c r="I26" s="41"/>
      <c r="J26" s="44"/>
      <c r="K26" s="44"/>
      <c r="L26" s="45"/>
      <c r="M26" s="15"/>
      <c r="N26" s="42"/>
    </row>
    <row r="27" customFormat="false" ht="14.25" hidden="false" customHeight="true" outlineLevel="0" collapsed="false">
      <c r="A27" s="53"/>
      <c r="B27" s="52"/>
      <c r="C27" s="52"/>
      <c r="D27" s="52"/>
      <c r="I27" s="41"/>
      <c r="J27" s="44"/>
      <c r="K27" s="44"/>
      <c r="L27" s="45"/>
      <c r="M27" s="15"/>
      <c r="N27" s="42"/>
    </row>
    <row r="28" customFormat="false" ht="14.25" hidden="false" customHeight="true" outlineLevel="0" collapsed="false">
      <c r="A28" s="54" t="s">
        <v>38</v>
      </c>
      <c r="B28" s="30"/>
      <c r="C28" s="48"/>
      <c r="D28" s="48"/>
      <c r="I28" s="41"/>
      <c r="J28" s="44"/>
      <c r="K28" s="44"/>
      <c r="L28" s="45"/>
      <c r="M28" s="15"/>
      <c r="N28" s="42"/>
    </row>
    <row r="29" customFormat="false" ht="14.25" hidden="false" customHeight="true" outlineLevel="0" collapsed="false">
      <c r="A29" s="55"/>
      <c r="B29" s="48"/>
      <c r="C29" s="48"/>
      <c r="D29" s="48"/>
      <c r="I29" s="41"/>
      <c r="J29" s="44"/>
      <c r="K29" s="44"/>
      <c r="L29" s="45"/>
      <c r="M29" s="15"/>
      <c r="N29" s="42"/>
    </row>
    <row r="30" customFormat="false" ht="14.25" hidden="false" customHeight="true" outlineLevel="0" collapsed="false">
      <c r="A30" s="54" t="s">
        <v>39</v>
      </c>
      <c r="B30" s="56"/>
      <c r="C30" s="48"/>
      <c r="D30" s="48"/>
      <c r="I30" s="41"/>
      <c r="J30" s="44"/>
      <c r="K30" s="44"/>
      <c r="L30" s="45"/>
      <c r="M30" s="15"/>
      <c r="N30" s="42"/>
    </row>
    <row r="31" customFormat="false" ht="14.25" hidden="false" customHeight="true" outlineLevel="0" collapsed="false">
      <c r="A31" s="55"/>
      <c r="B31" s="57" t="s">
        <v>40</v>
      </c>
      <c r="C31" s="57" t="s">
        <v>41</v>
      </c>
      <c r="D31" s="48"/>
      <c r="I31" s="41"/>
      <c r="J31" s="44"/>
      <c r="K31" s="44"/>
      <c r="L31" s="45"/>
      <c r="M31" s="15"/>
      <c r="N31" s="42"/>
    </row>
    <row r="32" customFormat="false" ht="14.25" hidden="false" customHeight="true" outlineLevel="0" collapsed="false">
      <c r="A32" s="54" t="s">
        <v>42</v>
      </c>
      <c r="B32" s="58"/>
      <c r="C32" s="56"/>
      <c r="D32" s="48"/>
      <c r="I32" s="41"/>
      <c r="J32" s="44"/>
      <c r="K32" s="44"/>
      <c r="L32" s="45"/>
      <c r="M32" s="15"/>
      <c r="N32" s="42"/>
    </row>
    <row r="33" customFormat="false" ht="14.25" hidden="false" customHeight="true" outlineLevel="0" collapsed="false">
      <c r="A33" s="55"/>
      <c r="B33" s="48"/>
      <c r="C33" s="48"/>
      <c r="D33" s="48"/>
      <c r="I33" s="41"/>
      <c r="J33" s="44"/>
      <c r="K33" s="44"/>
      <c r="L33" s="45"/>
      <c r="M33" s="15"/>
      <c r="N33" s="42"/>
    </row>
    <row r="34" customFormat="false" ht="14.25" hidden="false" customHeight="true" outlineLevel="0" collapsed="false">
      <c r="A34" s="49" t="s">
        <v>43</v>
      </c>
      <c r="B34" s="12"/>
      <c r="C34" s="59" t="s">
        <v>44</v>
      </c>
      <c r="D34" s="52"/>
      <c r="I34" s="41"/>
      <c r="J34" s="44"/>
      <c r="K34" s="44"/>
      <c r="L34" s="45"/>
      <c r="M34" s="15"/>
      <c r="N34" s="42"/>
    </row>
    <row r="35" customFormat="false" ht="14.25" hidden="false" customHeight="true" outlineLevel="0" collapsed="false">
      <c r="A35" s="53" t="s">
        <v>45</v>
      </c>
      <c r="B35" s="52"/>
      <c r="C35" s="52"/>
      <c r="D35" s="52"/>
      <c r="I35" s="41"/>
      <c r="J35" s="44"/>
      <c r="K35" s="44"/>
      <c r="L35" s="45"/>
      <c r="M35" s="15"/>
      <c r="N35" s="42"/>
    </row>
    <row r="36" customFormat="false" ht="14.25" hidden="false" customHeight="true" outlineLevel="0" collapsed="false">
      <c r="I36" s="41"/>
      <c r="J36" s="44"/>
      <c r="K36" s="44"/>
      <c r="L36" s="45"/>
      <c r="M36" s="15"/>
      <c r="N36" s="42"/>
    </row>
    <row r="37" customFormat="false" ht="14.25" hidden="false" customHeight="true" outlineLevel="0" collapsed="false">
      <c r="A37" s="60" t="s">
        <v>46</v>
      </c>
      <c r="B37" s="61" t="s">
        <v>47</v>
      </c>
      <c r="C37" s="61"/>
      <c r="I37" s="41"/>
      <c r="J37" s="44"/>
      <c r="K37" s="44"/>
      <c r="L37" s="45"/>
      <c r="M37" s="15"/>
      <c r="N37" s="42"/>
    </row>
    <row r="38" customFormat="false" ht="14.25" hidden="false" customHeight="true" outlineLevel="0" collapsed="false">
      <c r="I38" s="41"/>
      <c r="J38" s="44"/>
      <c r="K38" s="44"/>
      <c r="L38" s="45"/>
      <c r="M38" s="15"/>
      <c r="N38" s="42"/>
    </row>
    <row r="39" customFormat="false" ht="14.25" hidden="false" customHeight="true" outlineLevel="0" collapsed="false">
      <c r="I39" s="41"/>
      <c r="J39" s="44"/>
      <c r="K39" s="44"/>
      <c r="L39" s="45"/>
      <c r="M39" s="15"/>
      <c r="N39" s="42"/>
    </row>
    <row r="40" customFormat="false" ht="14.25" hidden="false" customHeight="true" outlineLevel="0" collapsed="false">
      <c r="I40" s="41"/>
      <c r="J40" s="44"/>
      <c r="K40" s="44"/>
      <c r="L40" s="45"/>
      <c r="M40" s="15"/>
      <c r="N40" s="42"/>
    </row>
    <row r="41" customFormat="false" ht="14.25" hidden="false" customHeight="true" outlineLevel="0" collapsed="false">
      <c r="I41" s="41"/>
      <c r="J41" s="44"/>
      <c r="K41" s="44"/>
      <c r="L41" s="45"/>
      <c r="M41" s="15"/>
      <c r="N41" s="42"/>
    </row>
    <row r="42" customFormat="false" ht="14.25" hidden="false" customHeight="true" outlineLevel="0" collapsed="false">
      <c r="I42" s="41"/>
      <c r="J42" s="44"/>
      <c r="K42" s="44"/>
      <c r="L42" s="45"/>
      <c r="M42" s="15"/>
      <c r="N42" s="42"/>
    </row>
    <row r="43" customFormat="false" ht="14.25" hidden="false" customHeight="true" outlineLevel="0" collapsed="false">
      <c r="I43" s="41"/>
      <c r="J43" s="44"/>
      <c r="K43" s="44"/>
      <c r="L43" s="45"/>
      <c r="M43" s="15"/>
      <c r="N43" s="42"/>
    </row>
    <row r="44" customFormat="false" ht="14.25" hidden="false" customHeight="true" outlineLevel="0" collapsed="false">
      <c r="I44" s="41"/>
      <c r="J44" s="44"/>
      <c r="K44" s="44"/>
      <c r="L44" s="45"/>
      <c r="M44" s="15"/>
      <c r="N44" s="42"/>
    </row>
    <row r="45" customFormat="false" ht="14.25" hidden="false" customHeight="true" outlineLevel="0" collapsed="false">
      <c r="I45" s="41"/>
      <c r="J45" s="44"/>
      <c r="K45" s="44"/>
      <c r="L45" s="45"/>
      <c r="M45" s="15"/>
      <c r="N45" s="42"/>
    </row>
    <row r="46" customFormat="false" ht="14.25" hidden="false" customHeight="true" outlineLevel="0" collapsed="false">
      <c r="I46" s="41"/>
      <c r="J46" s="44"/>
      <c r="K46" s="44"/>
      <c r="L46" s="45"/>
      <c r="M46" s="15"/>
      <c r="N46" s="42"/>
    </row>
    <row r="47" customFormat="false" ht="14.25" hidden="false" customHeight="true" outlineLevel="0" collapsed="false">
      <c r="I47" s="41"/>
      <c r="J47" s="44"/>
      <c r="K47" s="44"/>
      <c r="L47" s="45"/>
      <c r="M47" s="15"/>
      <c r="N47" s="42"/>
    </row>
    <row r="48" customFormat="false" ht="14.25" hidden="false" customHeight="true" outlineLevel="0" collapsed="false">
      <c r="I48" s="42"/>
      <c r="J48" s="42"/>
      <c r="K48" s="42"/>
      <c r="L48" s="42"/>
      <c r="M48" s="42"/>
      <c r="N48" s="42"/>
    </row>
  </sheetData>
  <mergeCells count="5">
    <mergeCell ref="A1:D1"/>
    <mergeCell ref="F1:N1"/>
    <mergeCell ref="A8:D8"/>
    <mergeCell ref="I20:N20"/>
    <mergeCell ref="A24:D24"/>
  </mergeCells>
  <conditionalFormatting sqref="L17">
    <cfRule type="cellIs" priority="2" operator="equal" aboveAverage="0" equalAverage="0" bottom="0" percent="0" rank="0" text="" dxfId="0">
      <formula>"Exclusion?"</formula>
    </cfRule>
  </conditionalFormatting>
  <conditionalFormatting sqref="M17">
    <cfRule type="expression" priority="3" aboveAverage="0" equalAverage="0" bottom="0" percent="0" rank="0" text="" dxfId="1">
      <formula>$L$17="Exclusion?"</formula>
    </cfRule>
  </conditionalFormatting>
  <conditionalFormatting sqref="C3">
    <cfRule type="expression" priority="4" aboveAverage="0" equalAverage="0" bottom="0" percent="0" rank="0" text="" dxfId="2">
      <formula>$C$2="Dominant or Recessive?"</formula>
    </cfRule>
  </conditionalFormatting>
  <dataValidations count="12">
    <dataValidation allowBlank="true" errorStyle="stop" operator="between" showDropDown="false" showErrorMessage="true" showInputMessage="true" sqref="B3" type="list">
      <formula1>"X-Linked,Autosomal_Dominant,Autosomal_Recessive"</formula1>
      <formula2>0</formula2>
    </dataValidation>
    <dataValidation allowBlank="true" errorStyle="stop" operator="between" showDropDown="false" showErrorMessage="true" showInputMessage="true" sqref="B34" type="whole">
      <formula1>2</formula1>
      <formula2>10</formula2>
    </dataValidation>
    <dataValidation allowBlank="true" errorStyle="stop" operator="between" showDropDown="false" showErrorMessage="true" showInputMessage="true" sqref="G4" type="list">
      <formula1>"carrier_female_partner"</formula1>
      <formula2>0</formula2>
    </dataValidation>
    <dataValidation allowBlank="true" errorStyle="stop" operator="between" showDropDown="false" showErrorMessage="true" showInputMessage="true" sqref="H4" type="list">
      <formula1>"Female"</formula1>
      <formula2>0</formula2>
    </dataValidation>
    <dataValidation allowBlank="true" errorStyle="stop" operator="between" showDropDown="false" showErrorMessage="true" showInputMessage="true" sqref="G6" type="list">
      <formula1>"unaffected_male_partner"</formula1>
      <formula2>0</formula2>
    </dataValidation>
    <dataValidation allowBlank="true" errorStyle="stop" operator="between" showDropDown="false" showErrorMessage="true" showInputMessage="true" sqref="H6" type="list">
      <formula1>"Male"</formula1>
      <formula2>0</formula2>
    </dataValidation>
    <dataValidation allowBlank="true" errorStyle="stop" operator="between" showDropDown="false" showErrorMessage="true" showInputMessage="true" sqref="H8" type="list">
      <formula1>"Female,Male"</formula1>
      <formula2>0</formula2>
    </dataValidation>
    <dataValidation allowBlank="true" errorStyle="stop" operator="between" showDropDown="false" showErrorMessage="true" showInputMessage="true" sqref="H11" type="list">
      <formula1>"Carrier,Affected,Unaffected"</formula1>
      <formula2>0</formula2>
    </dataValidation>
    <dataValidation allowBlank="true" errorStyle="stop" operator="between" showDropDown="false" showErrorMessage="true" showInputMessage="true" sqref="H12" type="list">
      <formula1>"Father,Mother,Son,Daughter,Embryo,Prenatal"</formula1>
      <formula2>0</formula2>
    </dataValidation>
    <dataValidation allowBlank="true" errorStyle="stop" operator="between" showDropDown="false" showErrorMessage="true" showInputMessage="true" sqref="H13" type="list">
      <formula1>"female_partner,both"</formula1>
      <formula2>0</formula2>
    </dataValidation>
    <dataValidation allowBlank="true" errorStyle="stop" operator="between" showDropDown="false" showErrorMessage="true" showInputMessage="true" sqref="B14 H15 H17 M17" type="list">
      <formula1>data_validation!$K$1:$K$2</formula1>
      <formula2>0</formula2>
    </dataValidation>
    <dataValidation allowBlank="true" errorStyle="stop" operator="between" showDropDown="false" showErrorMessage="true" showInputMessage="true" sqref="L23:L47" type="list">
      <formula1>data_validation!$J$3:$J$5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P23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A26" activeCellId="0" sqref="A26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51.28"/>
    <col collapsed="false" customWidth="true" hidden="false" outlineLevel="0" max="5" min="2" style="1" width="10.43"/>
    <col collapsed="false" customWidth="false" hidden="false" outlineLevel="0" max="7" min="6" style="1" width="9.14"/>
    <col collapsed="false" customWidth="true" hidden="false" outlineLevel="0" max="8" min="8" style="1" width="37.85"/>
    <col collapsed="false" customWidth="true" hidden="false" outlineLevel="0" max="9" min="9" style="1" width="11.85"/>
    <col collapsed="false" customWidth="true" hidden="false" outlineLevel="0" max="10" min="10" style="1" width="12"/>
    <col collapsed="false" customWidth="true" hidden="false" outlineLevel="0" max="11" min="11" style="1" width="10.57"/>
    <col collapsed="false" customWidth="true" hidden="false" outlineLevel="0" max="12" min="12" style="1" width="11.71"/>
    <col collapsed="false" customWidth="true" hidden="false" outlineLevel="0" max="13" min="13" style="1" width="9.43"/>
    <col collapsed="false" customWidth="true" hidden="false" outlineLevel="0" max="15" min="14" style="1" width="17.43"/>
    <col collapsed="false" customWidth="true" hidden="false" outlineLevel="0" max="16" min="16" style="1" width="15.85"/>
    <col collapsed="false" customWidth="false" hidden="false" outlineLevel="0" max="1024" min="17" style="1" width="9.14"/>
  </cols>
  <sheetData>
    <row r="1" customFormat="false" ht="15" hidden="false" customHeight="true" outlineLevel="0" collapsed="false">
      <c r="I1" s="62" t="s">
        <v>48</v>
      </c>
      <c r="J1" s="62"/>
      <c r="K1" s="62"/>
      <c r="L1" s="62"/>
      <c r="M1" s="63" t="s">
        <v>49</v>
      </c>
      <c r="N1" s="64" t="s">
        <v>50</v>
      </c>
      <c r="O1" s="64"/>
    </row>
    <row r="2" customFormat="false" ht="64.5" hidden="false" customHeight="true" outlineLevel="0" collapsed="false">
      <c r="A2" s="65" t="s">
        <v>51</v>
      </c>
      <c r="B2" s="66"/>
      <c r="C2" s="66"/>
      <c r="D2" s="66"/>
      <c r="E2" s="66"/>
      <c r="F2" s="67"/>
      <c r="G2" s="68" t="s">
        <v>52</v>
      </c>
      <c r="H2" s="69" t="s">
        <v>53</v>
      </c>
      <c r="I2" s="70" t="s">
        <v>54</v>
      </c>
      <c r="J2" s="70" t="s">
        <v>55</v>
      </c>
      <c r="K2" s="71" t="s">
        <v>56</v>
      </c>
      <c r="L2" s="71" t="s">
        <v>57</v>
      </c>
      <c r="M2" s="72" t="s">
        <v>58</v>
      </c>
      <c r="N2" s="73" t="s">
        <v>59</v>
      </c>
      <c r="O2" s="73" t="s">
        <v>60</v>
      </c>
      <c r="P2" s="74" t="s">
        <v>61</v>
      </c>
    </row>
    <row r="3" customFormat="false" ht="14.25" hidden="false" customHeight="true" outlineLevel="0" collapsed="false">
      <c r="A3" s="67"/>
      <c r="B3" s="75" t="s">
        <v>62</v>
      </c>
      <c r="C3" s="75"/>
      <c r="D3" s="75" t="s">
        <v>63</v>
      </c>
      <c r="E3" s="75"/>
      <c r="F3" s="67"/>
      <c r="G3" s="76"/>
      <c r="H3" s="76"/>
      <c r="I3" s="77"/>
      <c r="J3" s="77"/>
      <c r="K3" s="77"/>
      <c r="L3" s="77"/>
      <c r="M3" s="76"/>
      <c r="N3" s="78"/>
      <c r="O3" s="78"/>
      <c r="P3" s="79"/>
    </row>
    <row r="4" customFormat="false" ht="14.25" hidden="false" customHeight="true" outlineLevel="0" collapsed="false">
      <c r="A4" s="80" t="s">
        <v>64</v>
      </c>
      <c r="B4" s="81" t="s">
        <v>65</v>
      </c>
      <c r="C4" s="81" t="s">
        <v>66</v>
      </c>
      <c r="D4" s="81" t="s">
        <v>65</v>
      </c>
      <c r="E4" s="81" t="s">
        <v>66</v>
      </c>
      <c r="F4" s="67"/>
      <c r="G4" s="76"/>
      <c r="H4" s="76"/>
      <c r="I4" s="77"/>
      <c r="J4" s="77"/>
      <c r="K4" s="77"/>
      <c r="L4" s="77"/>
      <c r="M4" s="76"/>
      <c r="N4" s="78"/>
      <c r="O4" s="78"/>
      <c r="P4" s="79"/>
    </row>
    <row r="5" customFormat="false" ht="14.25" hidden="false" customHeight="true" outlineLevel="0" collapsed="false">
      <c r="A5" s="82" t="s">
        <v>67</v>
      </c>
      <c r="B5" s="76"/>
      <c r="C5" s="83"/>
      <c r="D5" s="76"/>
      <c r="E5" s="83"/>
      <c r="F5" s="67"/>
      <c r="G5" s="76"/>
      <c r="H5" s="76"/>
      <c r="I5" s="77"/>
      <c r="J5" s="77"/>
      <c r="K5" s="77"/>
      <c r="L5" s="77"/>
      <c r="M5" s="76"/>
      <c r="N5" s="78"/>
      <c r="O5" s="78"/>
      <c r="P5" s="79"/>
    </row>
    <row r="6" customFormat="false" ht="14.25" hidden="false" customHeight="true" outlineLevel="0" collapsed="false">
      <c r="A6" s="82" t="s">
        <v>68</v>
      </c>
      <c r="B6" s="76"/>
      <c r="C6" s="83"/>
      <c r="D6" s="84"/>
      <c r="E6" s="85"/>
      <c r="F6" s="67"/>
      <c r="G6" s="66"/>
      <c r="H6" s="66"/>
      <c r="I6" s="66"/>
      <c r="J6" s="66"/>
      <c r="K6" s="66"/>
      <c r="L6" s="67"/>
      <c r="M6" s="67"/>
    </row>
    <row r="7" customFormat="false" ht="14.25" hidden="false" customHeight="true" outlineLevel="0" collapsed="false">
      <c r="A7" s="82" t="s">
        <v>69</v>
      </c>
      <c r="B7" s="76"/>
      <c r="C7" s="83"/>
      <c r="D7" s="84"/>
      <c r="E7" s="85"/>
      <c r="F7" s="67"/>
      <c r="G7" s="66"/>
      <c r="H7" s="66"/>
      <c r="I7" s="66"/>
      <c r="J7" s="66"/>
      <c r="K7" s="66"/>
      <c r="L7" s="67"/>
      <c r="M7" s="67"/>
    </row>
    <row r="8" customFormat="false" ht="14.25" hidden="false" customHeight="true" outlineLevel="0" collapsed="false">
      <c r="A8" s="82" t="s">
        <v>70</v>
      </c>
      <c r="B8" s="76"/>
      <c r="C8" s="83"/>
      <c r="D8" s="76"/>
      <c r="E8" s="83"/>
      <c r="F8" s="67"/>
      <c r="G8" s="66"/>
      <c r="H8" s="66"/>
      <c r="I8" s="66"/>
      <c r="J8" s="66"/>
      <c r="K8" s="66"/>
      <c r="L8" s="67"/>
      <c r="M8" s="67"/>
    </row>
    <row r="9" customFormat="false" ht="14.25" hidden="false" customHeight="true" outlineLevel="0" collapsed="false">
      <c r="A9" s="82" t="s">
        <v>71</v>
      </c>
      <c r="B9" s="76"/>
      <c r="C9" s="83"/>
      <c r="D9" s="84"/>
      <c r="E9" s="85"/>
      <c r="F9" s="67"/>
      <c r="G9" s="66"/>
      <c r="H9" s="66"/>
      <c r="I9" s="66"/>
      <c r="J9" s="66"/>
      <c r="K9" s="66"/>
      <c r="L9" s="67"/>
      <c r="M9" s="67"/>
    </row>
    <row r="10" customFormat="false" ht="14.25" hidden="false" customHeight="true" outlineLevel="0" collapsed="false">
      <c r="A10" s="82" t="s">
        <v>72</v>
      </c>
      <c r="B10" s="76"/>
      <c r="C10" s="83"/>
      <c r="D10" s="76"/>
      <c r="E10" s="83"/>
      <c r="F10" s="67"/>
      <c r="G10" s="66"/>
      <c r="H10" s="66"/>
      <c r="I10" s="66"/>
      <c r="J10" s="66"/>
      <c r="K10" s="66"/>
      <c r="L10" s="67"/>
      <c r="M10" s="67"/>
    </row>
    <row r="11" customFormat="false" ht="14.25" hidden="false" customHeight="true" outlineLevel="0" collapsed="false">
      <c r="A11" s="82" t="s">
        <v>73</v>
      </c>
      <c r="B11" s="76"/>
      <c r="C11" s="83"/>
      <c r="D11" s="76"/>
      <c r="E11" s="83"/>
      <c r="F11" s="67"/>
      <c r="G11" s="66"/>
      <c r="H11" s="66"/>
      <c r="I11" s="66"/>
      <c r="J11" s="66"/>
      <c r="K11" s="66"/>
      <c r="L11" s="67"/>
      <c r="M11" s="67"/>
    </row>
    <row r="12" customFormat="false" ht="14.25" hidden="false" customHeight="true" outlineLevel="0" collapsed="false">
      <c r="A12" s="67"/>
      <c r="B12" s="86"/>
      <c r="C12" s="87"/>
      <c r="D12" s="86"/>
      <c r="E12" s="87"/>
      <c r="F12" s="67"/>
      <c r="G12" s="66"/>
      <c r="H12" s="66"/>
      <c r="I12" s="66"/>
      <c r="J12" s="66"/>
      <c r="K12" s="66"/>
      <c r="L12" s="67"/>
      <c r="M12" s="67"/>
    </row>
    <row r="13" customFormat="false" ht="14.25" hidden="false" customHeight="true" outlineLevel="0" collapsed="false">
      <c r="A13" s="67"/>
      <c r="B13" s="75" t="s">
        <v>62</v>
      </c>
      <c r="C13" s="75"/>
      <c r="D13" s="75" t="s">
        <v>63</v>
      </c>
      <c r="E13" s="75"/>
      <c r="F13" s="67"/>
      <c r="G13" s="66"/>
      <c r="H13" s="66"/>
      <c r="I13" s="66"/>
      <c r="J13" s="66"/>
      <c r="K13" s="66"/>
      <c r="L13" s="67"/>
      <c r="M13" s="67"/>
    </row>
    <row r="14" customFormat="false" ht="14.25" hidden="false" customHeight="true" outlineLevel="0" collapsed="false">
      <c r="A14" s="80" t="s">
        <v>74</v>
      </c>
      <c r="B14" s="81" t="s">
        <v>65</v>
      </c>
      <c r="C14" s="81" t="s">
        <v>66</v>
      </c>
      <c r="D14" s="81" t="s">
        <v>65</v>
      </c>
      <c r="E14" s="81" t="s">
        <v>66</v>
      </c>
      <c r="F14" s="67"/>
      <c r="G14" s="66"/>
      <c r="H14" s="66"/>
      <c r="I14" s="66"/>
      <c r="J14" s="66"/>
      <c r="K14" s="66"/>
      <c r="L14" s="67"/>
      <c r="M14" s="67"/>
    </row>
    <row r="15" customFormat="false" ht="14.25" hidden="false" customHeight="true" outlineLevel="0" collapsed="false">
      <c r="A15" s="82" t="s">
        <v>75</v>
      </c>
      <c r="B15" s="88"/>
      <c r="C15" s="88"/>
      <c r="D15" s="88"/>
      <c r="E15" s="88"/>
      <c r="F15" s="67"/>
      <c r="G15" s="66"/>
      <c r="H15" s="66"/>
      <c r="I15" s="66"/>
      <c r="J15" s="66"/>
      <c r="K15" s="66"/>
      <c r="L15" s="67"/>
      <c r="M15" s="67"/>
    </row>
    <row r="16" customFormat="false" ht="14.25" hidden="false" customHeight="true" outlineLevel="0" collapsed="false">
      <c r="A16" s="82" t="s">
        <v>76</v>
      </c>
      <c r="B16" s="88"/>
      <c r="C16" s="88"/>
      <c r="D16" s="88"/>
      <c r="E16" s="88"/>
      <c r="F16" s="67"/>
      <c r="G16" s="66"/>
      <c r="H16" s="66"/>
      <c r="I16" s="66"/>
      <c r="J16" s="66"/>
      <c r="K16" s="66"/>
      <c r="L16" s="67"/>
      <c r="M16" s="67"/>
    </row>
    <row r="17" customFormat="false" ht="14.25" hidden="false" customHeight="true" outlineLevel="0" collapsed="false">
      <c r="A17" s="89"/>
      <c r="B17" s="66"/>
      <c r="C17" s="66"/>
      <c r="D17" s="66"/>
      <c r="E17" s="66"/>
      <c r="F17" s="67"/>
      <c r="G17" s="66"/>
      <c r="H17" s="66"/>
      <c r="I17" s="66"/>
      <c r="J17" s="66"/>
      <c r="K17" s="66"/>
      <c r="L17" s="67"/>
      <c r="M17" s="67"/>
    </row>
    <row r="18" customFormat="false" ht="14.25" hidden="false" customHeight="true" outlineLevel="0" collapsed="false">
      <c r="A18" s="89"/>
      <c r="B18" s="66"/>
      <c r="C18" s="66"/>
      <c r="D18" s="66"/>
      <c r="E18" s="66"/>
      <c r="F18" s="67"/>
      <c r="G18" s="66"/>
      <c r="H18" s="66"/>
      <c r="I18" s="66"/>
      <c r="J18" s="66"/>
      <c r="K18" s="66"/>
      <c r="L18" s="67"/>
      <c r="M18" s="67"/>
    </row>
    <row r="19" customFormat="false" ht="14.25" hidden="false" customHeight="true" outlineLevel="0" collapsed="false">
      <c r="A19" s="90" t="s">
        <v>77</v>
      </c>
      <c r="B19" s="66"/>
      <c r="C19" s="66"/>
      <c r="D19" s="66"/>
      <c r="E19" s="66"/>
      <c r="F19" s="67"/>
      <c r="G19" s="91"/>
      <c r="H19" s="66"/>
      <c r="I19" s="66"/>
      <c r="J19" s="66"/>
      <c r="K19" s="66"/>
      <c r="L19" s="67"/>
      <c r="M19" s="67"/>
    </row>
    <row r="20" customFormat="false" ht="14.25" hidden="false" customHeight="true" outlineLevel="0" collapsed="false">
      <c r="A20" s="89" t="s">
        <v>78</v>
      </c>
      <c r="B20" s="66"/>
      <c r="C20" s="66"/>
      <c r="D20" s="66"/>
      <c r="E20" s="66"/>
      <c r="F20" s="67"/>
      <c r="G20" s="66"/>
      <c r="H20" s="66"/>
      <c r="I20" s="66"/>
      <c r="J20" s="66"/>
      <c r="K20" s="66"/>
      <c r="L20" s="67"/>
      <c r="M20" s="67"/>
    </row>
    <row r="21" customFormat="false" ht="14.25" hidden="false" customHeight="true" outlineLevel="0" collapsed="false">
      <c r="A21" s="92"/>
      <c r="B21" s="66"/>
      <c r="C21" s="66"/>
      <c r="D21" s="66"/>
      <c r="E21" s="66"/>
      <c r="F21" s="67"/>
      <c r="G21" s="66"/>
      <c r="H21" s="66"/>
      <c r="I21" s="66"/>
      <c r="J21" s="66"/>
      <c r="K21" s="66"/>
      <c r="L21" s="67"/>
      <c r="M21" s="67"/>
    </row>
    <row r="22" customFormat="false" ht="14.25" hidden="false" customHeight="true" outlineLevel="0" collapsed="false">
      <c r="A22" s="1" t="s">
        <v>79</v>
      </c>
      <c r="B22" s="66"/>
      <c r="C22" s="66"/>
      <c r="D22" s="66"/>
      <c r="E22" s="66"/>
      <c r="F22" s="67"/>
      <c r="G22" s="66"/>
      <c r="H22" s="66"/>
      <c r="I22" s="66"/>
      <c r="J22" s="66"/>
      <c r="K22" s="66"/>
      <c r="L22" s="67"/>
      <c r="M22" s="67"/>
    </row>
    <row r="23" customFormat="false" ht="14.25" hidden="false" customHeight="true" outlineLevel="0" collapsed="false"/>
  </sheetData>
  <mergeCells count="6">
    <mergeCell ref="I1:L1"/>
    <mergeCell ref="N1:O1"/>
    <mergeCell ref="B3:C3"/>
    <mergeCell ref="D3:E3"/>
    <mergeCell ref="B13:C13"/>
    <mergeCell ref="D13:E13"/>
  </mergeCells>
  <hyperlinks>
    <hyperlink ref="A22" r:id="rId1" display="..\..\..\..\Current\PGD\pgd results\SNP array\Genotyping data from MSV &amp; ChAS detail view exports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X26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B5" activeCellId="0" sqref="B5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57.28"/>
    <col collapsed="false" customWidth="true" hidden="false" outlineLevel="0" max="5" min="2" style="1" width="10.28"/>
    <col collapsed="false" customWidth="false" hidden="false" outlineLevel="0" max="6" min="6" style="1" width="9.14"/>
    <col collapsed="false" customWidth="true" hidden="false" outlineLevel="0" max="7" min="7" style="1" width="9.57"/>
    <col collapsed="false" customWidth="true" hidden="false" outlineLevel="0" max="8" min="8" style="1" width="38.71"/>
    <col collapsed="false" customWidth="true" hidden="false" outlineLevel="0" max="9" min="9" style="1" width="13"/>
    <col collapsed="false" customWidth="true" hidden="false" outlineLevel="0" max="10" min="10" style="1" width="11.28"/>
    <col collapsed="false" customWidth="true" hidden="false" outlineLevel="0" max="11" min="11" style="1" width="12.43"/>
    <col collapsed="false" customWidth="true" hidden="false" outlineLevel="0" max="12" min="12" style="1" width="14.14"/>
    <col collapsed="false" customWidth="true" hidden="false" outlineLevel="0" max="13" min="13" style="1" width="8.14"/>
    <col collapsed="false" customWidth="true" hidden="false" outlineLevel="0" max="14" min="14" style="1" width="13.43"/>
    <col collapsed="false" customWidth="true" hidden="false" outlineLevel="0" max="15" min="15" style="1" width="13.28"/>
    <col collapsed="false" customWidth="true" hidden="false" outlineLevel="0" max="16" min="16" style="1" width="6.85"/>
    <col collapsed="false" customWidth="true" hidden="false" outlineLevel="0" max="17" min="17" style="1" width="12.28"/>
    <col collapsed="false" customWidth="true" hidden="false" outlineLevel="0" max="18" min="18" style="1" width="14.14"/>
    <col collapsed="false" customWidth="true" hidden="false" outlineLevel="0" max="19" min="19" style="1" width="7.85"/>
    <col collapsed="false" customWidth="true" hidden="false" outlineLevel="0" max="20" min="20" style="1" width="9.57"/>
    <col collapsed="false" customWidth="true" hidden="false" outlineLevel="0" max="21" min="21" style="1" width="8.57"/>
    <col collapsed="false" customWidth="true" hidden="false" outlineLevel="0" max="22" min="22" style="1" width="17.57"/>
    <col collapsed="false" customWidth="false" hidden="false" outlineLevel="0" max="1024" min="23" style="1" width="9.14"/>
  </cols>
  <sheetData>
    <row r="1" customFormat="false" ht="15.75" hidden="false" customHeight="true" outlineLevel="0" collapsed="false">
      <c r="A1" s="67"/>
      <c r="B1" s="66"/>
      <c r="C1" s="66"/>
      <c r="D1" s="66"/>
      <c r="E1" s="66"/>
      <c r="F1" s="67"/>
      <c r="G1" s="66"/>
      <c r="H1" s="66"/>
      <c r="I1" s="62" t="s">
        <v>48</v>
      </c>
      <c r="J1" s="62"/>
      <c r="K1" s="62"/>
      <c r="L1" s="62"/>
      <c r="M1" s="93" t="s">
        <v>80</v>
      </c>
      <c r="N1" s="64" t="s">
        <v>50</v>
      </c>
      <c r="O1" s="64"/>
      <c r="P1" s="64"/>
      <c r="Q1" s="64"/>
      <c r="R1" s="64"/>
      <c r="S1" s="94" t="s">
        <v>81</v>
      </c>
      <c r="T1" s="94"/>
      <c r="U1" s="94"/>
      <c r="V1" s="95"/>
      <c r="W1" s="67"/>
      <c r="X1" s="67"/>
    </row>
    <row r="2" customFormat="false" ht="51.75" hidden="false" customHeight="true" outlineLevel="0" collapsed="false">
      <c r="A2" s="65" t="s">
        <v>82</v>
      </c>
      <c r="B2" s="96" t="s">
        <v>83</v>
      </c>
      <c r="C2" s="96"/>
      <c r="D2" s="96"/>
      <c r="E2" s="96"/>
      <c r="F2" s="67"/>
      <c r="G2" s="68" t="s">
        <v>52</v>
      </c>
      <c r="H2" s="69" t="s">
        <v>53</v>
      </c>
      <c r="I2" s="70" t="s">
        <v>84</v>
      </c>
      <c r="J2" s="70" t="s">
        <v>55</v>
      </c>
      <c r="K2" s="71" t="s">
        <v>56</v>
      </c>
      <c r="L2" s="71" t="s">
        <v>85</v>
      </c>
      <c r="M2" s="97" t="s">
        <v>86</v>
      </c>
      <c r="N2" s="73" t="s">
        <v>87</v>
      </c>
      <c r="O2" s="73" t="s">
        <v>88</v>
      </c>
      <c r="P2" s="73" t="s">
        <v>89</v>
      </c>
      <c r="Q2" s="73" t="s">
        <v>90</v>
      </c>
      <c r="R2" s="98" t="s">
        <v>91</v>
      </c>
      <c r="S2" s="99" t="s">
        <v>92</v>
      </c>
      <c r="T2" s="99" t="s">
        <v>93</v>
      </c>
      <c r="U2" s="100" t="s">
        <v>94</v>
      </c>
      <c r="V2" s="101" t="s">
        <v>61</v>
      </c>
      <c r="W2" s="67"/>
      <c r="X2" s="67"/>
    </row>
    <row r="3" customFormat="false" ht="14.25" hidden="false" customHeight="true" outlineLevel="0" collapsed="false">
      <c r="A3" s="89"/>
      <c r="B3" s="75" t="s">
        <v>62</v>
      </c>
      <c r="C3" s="75"/>
      <c r="D3" s="75" t="s">
        <v>63</v>
      </c>
      <c r="E3" s="75"/>
      <c r="F3" s="67"/>
      <c r="G3" s="76"/>
      <c r="H3" s="102"/>
      <c r="I3" s="77"/>
      <c r="J3" s="77"/>
      <c r="K3" s="77"/>
      <c r="L3" s="77"/>
      <c r="M3" s="103"/>
      <c r="N3" s="104"/>
      <c r="O3" s="104"/>
      <c r="P3" s="104"/>
      <c r="Q3" s="105"/>
      <c r="R3" s="106"/>
      <c r="S3" s="107" t="str">
        <f aca="false">SUBSTITUTE(MID(H3,10,3),"_","")</f>
        <v/>
      </c>
      <c r="T3" s="107" t="str">
        <f aca="false">IFERROR(IF(R3="","",R3),"")</f>
        <v/>
      </c>
      <c r="U3" s="108" t="str">
        <f aca="false">IF(T3="Unaffected","Yes",IF(T3="Carrier","Yes",IF(T3="Affected","No",IF(T3="Abnormal","No",IF(T3="Undetermined","No","")))))</f>
        <v/>
      </c>
      <c r="V3" s="109"/>
      <c r="W3" s="67"/>
      <c r="X3" s="67"/>
    </row>
    <row r="4" customFormat="false" ht="14.25" hidden="false" customHeight="true" outlineLevel="0" collapsed="false">
      <c r="A4" s="80" t="s">
        <v>95</v>
      </c>
      <c r="B4" s="81" t="s">
        <v>65</v>
      </c>
      <c r="C4" s="81" t="s">
        <v>66</v>
      </c>
      <c r="D4" s="81" t="s">
        <v>65</v>
      </c>
      <c r="E4" s="81" t="s">
        <v>66</v>
      </c>
      <c r="F4" s="67"/>
      <c r="G4" s="76"/>
      <c r="H4" s="76"/>
      <c r="I4" s="77"/>
      <c r="J4" s="77"/>
      <c r="K4" s="77"/>
      <c r="L4" s="77"/>
      <c r="M4" s="103"/>
      <c r="N4" s="104"/>
      <c r="O4" s="104"/>
      <c r="P4" s="104"/>
      <c r="Q4" s="105"/>
      <c r="R4" s="106"/>
      <c r="S4" s="107" t="str">
        <f aca="false">SUBSTITUTE(MID(H4,10,3),"_","")</f>
        <v/>
      </c>
      <c r="T4" s="107" t="str">
        <f aca="false">IFERROR(IF(R4="","",R4),"")</f>
        <v/>
      </c>
      <c r="U4" s="108" t="str">
        <f aca="false">IF(T4="Unaffected","Yes",IF(T4="Carrier","Yes",IF(T4="Affected","No",IF(T4="Abnormal","No",IF(T4="Undetermined","No","")))))</f>
        <v/>
      </c>
      <c r="V4" s="109"/>
      <c r="W4" s="67"/>
      <c r="X4" s="67"/>
    </row>
    <row r="5" customFormat="false" ht="14.25" hidden="false" customHeight="true" outlineLevel="0" collapsed="false">
      <c r="A5" s="82" t="s">
        <v>68</v>
      </c>
      <c r="B5" s="76"/>
      <c r="C5" s="83"/>
      <c r="D5" s="84"/>
      <c r="E5" s="85"/>
      <c r="F5" s="67"/>
      <c r="G5" s="76"/>
      <c r="H5" s="76"/>
      <c r="I5" s="77"/>
      <c r="J5" s="77"/>
      <c r="K5" s="77"/>
      <c r="L5" s="77"/>
      <c r="M5" s="103"/>
      <c r="N5" s="104"/>
      <c r="O5" s="104"/>
      <c r="P5" s="104"/>
      <c r="Q5" s="105"/>
      <c r="R5" s="106"/>
      <c r="S5" s="107" t="str">
        <f aca="false">SUBSTITUTE(MID(H5,10,3),"_","")</f>
        <v/>
      </c>
      <c r="T5" s="107" t="str">
        <f aca="false">IFERROR(IF(R5="","",R5),"")</f>
        <v/>
      </c>
      <c r="U5" s="108" t="str">
        <f aca="false">IF(T5="Unaffected","Yes",IF(T5="Carrier","Yes",IF(T5="Affected","No",IF(T5="Abnormal","No",IF(T5="Undetermined","No","")))))</f>
        <v/>
      </c>
      <c r="V5" s="109"/>
      <c r="W5" s="67"/>
      <c r="X5" s="67"/>
    </row>
    <row r="6" customFormat="false" ht="14.25" hidden="false" customHeight="true" outlineLevel="0" collapsed="false">
      <c r="A6" s="82" t="s">
        <v>96</v>
      </c>
      <c r="B6" s="76"/>
      <c r="C6" s="83"/>
      <c r="D6" s="76"/>
      <c r="E6" s="83"/>
      <c r="F6" s="67"/>
      <c r="G6" s="76"/>
      <c r="H6" s="76"/>
      <c r="I6" s="77"/>
      <c r="J6" s="77"/>
      <c r="K6" s="77"/>
      <c r="L6" s="77"/>
      <c r="M6" s="103"/>
      <c r="N6" s="104"/>
      <c r="O6" s="104"/>
      <c r="P6" s="104"/>
      <c r="Q6" s="110"/>
      <c r="R6" s="106"/>
      <c r="S6" s="107" t="str">
        <f aca="false">SUBSTITUTE(MID(H6,10,3),"_","")</f>
        <v/>
      </c>
      <c r="T6" s="107" t="str">
        <f aca="false">IFERROR(IF(R6="","",R6),"")</f>
        <v/>
      </c>
      <c r="U6" s="108" t="str">
        <f aca="false">IF(T6="Unaffected","Yes",IF(T6="Carrier","Yes",IF(T6="Affected","No",IF(T6="Abnormal","No",IF(T6="Undetermined","No","")))))</f>
        <v/>
      </c>
      <c r="V6" s="109"/>
      <c r="W6" s="67"/>
      <c r="X6" s="67"/>
    </row>
    <row r="7" customFormat="false" ht="14.25" hidden="false" customHeight="true" outlineLevel="0" collapsed="false">
      <c r="A7" s="82" t="s">
        <v>69</v>
      </c>
      <c r="B7" s="76"/>
      <c r="C7" s="83"/>
      <c r="D7" s="84"/>
      <c r="E7" s="85"/>
      <c r="F7" s="67"/>
      <c r="G7" s="76"/>
      <c r="H7" s="76"/>
      <c r="I7" s="77"/>
      <c r="J7" s="77"/>
      <c r="K7" s="77"/>
      <c r="L7" s="77"/>
      <c r="M7" s="103"/>
      <c r="N7" s="104"/>
      <c r="O7" s="104"/>
      <c r="P7" s="104"/>
      <c r="Q7" s="110"/>
      <c r="R7" s="106"/>
      <c r="S7" s="107" t="str">
        <f aca="false">SUBSTITUTE(MID(H7,10,3),"_","")</f>
        <v/>
      </c>
      <c r="T7" s="107" t="str">
        <f aca="false">IFERROR(IF(R7="","",R7),"")</f>
        <v/>
      </c>
      <c r="U7" s="108" t="str">
        <f aca="false">IF(T7="Unaffected","Yes",IF(T7="Carrier","Yes",IF(T7="Affected","No",IF(T7="Abnormal","No",IF(T7="Undetermined","No","")))))</f>
        <v/>
      </c>
      <c r="V7" s="109"/>
      <c r="W7" s="67"/>
      <c r="X7" s="67"/>
    </row>
    <row r="8" customFormat="false" ht="14.25" hidden="false" customHeight="true" outlineLevel="0" collapsed="false">
      <c r="A8" s="82" t="s">
        <v>97</v>
      </c>
      <c r="B8" s="76"/>
      <c r="C8" s="83"/>
      <c r="D8" s="84"/>
      <c r="E8" s="85"/>
      <c r="F8" s="67"/>
      <c r="G8" s="76"/>
      <c r="H8" s="76"/>
      <c r="I8" s="77"/>
      <c r="J8" s="77"/>
      <c r="K8" s="77"/>
      <c r="L8" s="77"/>
      <c r="M8" s="103"/>
      <c r="N8" s="104"/>
      <c r="O8" s="104"/>
      <c r="P8" s="104"/>
      <c r="Q8" s="110"/>
      <c r="R8" s="106"/>
      <c r="S8" s="107" t="str">
        <f aca="false">SUBSTITUTE(MID(H8,10,3),"_","")</f>
        <v/>
      </c>
      <c r="T8" s="107" t="str">
        <f aca="false">IFERROR(IF(R8="","",R8),"")</f>
        <v/>
      </c>
      <c r="U8" s="108" t="str">
        <f aca="false">IF(T8="Unaffected","Yes",IF(T8="Carrier","Yes",IF(T8="Affected","No",IF(T8="Abnormal","No",IF(T8="Undetermined","No","")))))</f>
        <v/>
      </c>
      <c r="V8" s="109"/>
      <c r="W8" s="67"/>
      <c r="X8" s="67"/>
    </row>
    <row r="9" customFormat="false" ht="14.25" hidden="false" customHeight="true" outlineLevel="0" collapsed="false">
      <c r="A9" s="82" t="s">
        <v>98</v>
      </c>
      <c r="B9" s="76"/>
      <c r="C9" s="83"/>
      <c r="D9" s="76"/>
      <c r="E9" s="83"/>
      <c r="F9" s="67"/>
      <c r="G9" s="76"/>
      <c r="H9" s="76"/>
      <c r="I9" s="77"/>
      <c r="J9" s="77"/>
      <c r="K9" s="77"/>
      <c r="L9" s="77"/>
      <c r="M9" s="103"/>
      <c r="N9" s="104"/>
      <c r="O9" s="104"/>
      <c r="P9" s="104"/>
      <c r="Q9" s="110"/>
      <c r="R9" s="106"/>
      <c r="S9" s="107" t="str">
        <f aca="false">SUBSTITUTE(MID(H9,10,3),"_","")</f>
        <v/>
      </c>
      <c r="T9" s="107" t="str">
        <f aca="false">IFERROR(IF(R9="","",R9),"")</f>
        <v/>
      </c>
      <c r="U9" s="108" t="str">
        <f aca="false">IF(T9="Unaffected","Yes",IF(T9="Carrier","Yes",IF(T9="Affected","No",IF(T9="Abnormal","No",IF(T9="Undetermined","No","")))))</f>
        <v/>
      </c>
      <c r="V9" s="109"/>
      <c r="W9" s="67"/>
      <c r="X9" s="67"/>
    </row>
    <row r="10" customFormat="false" ht="14.25" hidden="false" customHeight="true" outlineLevel="0" collapsed="false">
      <c r="A10" s="82" t="s">
        <v>99</v>
      </c>
      <c r="B10" s="76"/>
      <c r="C10" s="83"/>
      <c r="D10" s="76"/>
      <c r="E10" s="83"/>
      <c r="F10" s="67"/>
      <c r="G10" s="76"/>
      <c r="H10" s="76"/>
      <c r="I10" s="77"/>
      <c r="J10" s="77"/>
      <c r="K10" s="77"/>
      <c r="L10" s="77"/>
      <c r="M10" s="103"/>
      <c r="N10" s="104"/>
      <c r="O10" s="104"/>
      <c r="P10" s="104"/>
      <c r="Q10" s="110"/>
      <c r="R10" s="106"/>
      <c r="S10" s="107" t="str">
        <f aca="false">SUBSTITUTE(MID(H10,10,3),"_","")</f>
        <v/>
      </c>
      <c r="T10" s="107" t="str">
        <f aca="false">IFERROR(IF(R10="","",R10),"")</f>
        <v/>
      </c>
      <c r="U10" s="108" t="str">
        <f aca="false">IF(T10="Unaffected","Yes",IF(T10="Carrier","Yes",IF(T10="Affected","No",IF(T10="Abnormal","No",IF(T10="Undetermined","No","")))))</f>
        <v/>
      </c>
      <c r="V10" s="109"/>
      <c r="W10" s="67"/>
      <c r="X10" s="67"/>
    </row>
    <row r="11" customFormat="false" ht="14.25" hidden="false" customHeight="true" outlineLevel="0" collapsed="false">
      <c r="A11" s="67"/>
      <c r="B11" s="66"/>
      <c r="C11" s="66"/>
      <c r="D11" s="66"/>
      <c r="E11" s="66"/>
      <c r="F11" s="67"/>
      <c r="G11" s="76"/>
      <c r="H11" s="76"/>
      <c r="I11" s="77"/>
      <c r="J11" s="77"/>
      <c r="K11" s="77"/>
      <c r="L11" s="77"/>
      <c r="M11" s="103"/>
      <c r="N11" s="104"/>
      <c r="O11" s="104"/>
      <c r="P11" s="104"/>
      <c r="Q11" s="110"/>
      <c r="R11" s="106"/>
      <c r="S11" s="107" t="str">
        <f aca="false">SUBSTITUTE(MID(H11,10,3),"_","")</f>
        <v/>
      </c>
      <c r="T11" s="107" t="str">
        <f aca="false">IFERROR(IF(R11="","",R11),"")</f>
        <v/>
      </c>
      <c r="U11" s="108" t="str">
        <f aca="false">IF(T11="Unaffected","Yes",IF(T11="Carrier","Yes",IF(T11="Affected","No",IF(T11="Abnormal","No",IF(T11="Undetermined","No","")))))</f>
        <v/>
      </c>
      <c r="V11" s="109"/>
      <c r="W11" s="67"/>
      <c r="X11" s="67"/>
    </row>
    <row r="12" customFormat="false" ht="14.25" hidden="false" customHeight="true" outlineLevel="0" collapsed="false">
      <c r="A12" s="67"/>
      <c r="B12" s="75" t="s">
        <v>100</v>
      </c>
      <c r="C12" s="75"/>
      <c r="D12" s="75" t="s">
        <v>101</v>
      </c>
      <c r="E12" s="75"/>
      <c r="F12" s="67"/>
      <c r="G12" s="76"/>
      <c r="H12" s="76"/>
      <c r="I12" s="77"/>
      <c r="J12" s="77"/>
      <c r="K12" s="77"/>
      <c r="L12" s="77"/>
      <c r="M12" s="103"/>
      <c r="N12" s="104"/>
      <c r="O12" s="104"/>
      <c r="P12" s="104"/>
      <c r="Q12" s="110"/>
      <c r="R12" s="106"/>
      <c r="S12" s="107" t="str">
        <f aca="false">SUBSTITUTE(MID(H12,10,3),"_","")</f>
        <v/>
      </c>
      <c r="T12" s="107" t="str">
        <f aca="false">IFERROR(IF(R12="","",R12),"")</f>
        <v/>
      </c>
      <c r="U12" s="108" t="str">
        <f aca="false">IF(T12="Unaffected","Yes",IF(T12="Carrier","Yes",IF(T12="Affected","No",IF(T12="Abnormal","No",IF(T12="Undetermined","No","")))))</f>
        <v/>
      </c>
      <c r="V12" s="109"/>
      <c r="W12" s="67"/>
      <c r="X12" s="67"/>
    </row>
    <row r="13" customFormat="false" ht="14.25" hidden="false" customHeight="true" outlineLevel="0" collapsed="false">
      <c r="A13" s="80" t="s">
        <v>81</v>
      </c>
      <c r="B13" s="81" t="s">
        <v>65</v>
      </c>
      <c r="C13" s="81" t="s">
        <v>66</v>
      </c>
      <c r="D13" s="81" t="s">
        <v>65</v>
      </c>
      <c r="E13" s="81" t="s">
        <v>66</v>
      </c>
      <c r="F13" s="67"/>
      <c r="G13" s="76"/>
      <c r="H13" s="76"/>
      <c r="I13" s="77"/>
      <c r="J13" s="77"/>
      <c r="K13" s="77"/>
      <c r="L13" s="77"/>
      <c r="M13" s="103"/>
      <c r="N13" s="104"/>
      <c r="O13" s="104"/>
      <c r="P13" s="104"/>
      <c r="Q13" s="110"/>
      <c r="R13" s="106"/>
      <c r="S13" s="107" t="str">
        <f aca="false">SUBSTITUTE(MID(H13,10,3),"_","")</f>
        <v/>
      </c>
      <c r="T13" s="107" t="str">
        <f aca="false">IFERROR(IF(R13="","",R13),"")</f>
        <v/>
      </c>
      <c r="U13" s="108" t="str">
        <f aca="false">IF(T13="Unaffected","Yes",IF(T13="Carrier","Yes",IF(T13="Affected","No",IF(T13="Abnormal","No",IF(T13="Undetermined","No","")))))</f>
        <v/>
      </c>
      <c r="V13" s="109"/>
      <c r="W13" s="67"/>
      <c r="X13" s="67"/>
    </row>
    <row r="14" customFormat="false" ht="14.25" hidden="false" customHeight="true" outlineLevel="0" collapsed="false">
      <c r="A14" s="82" t="s">
        <v>102</v>
      </c>
      <c r="B14" s="76"/>
      <c r="C14" s="83"/>
      <c r="D14" s="88"/>
      <c r="E14" s="88"/>
      <c r="F14" s="67"/>
      <c r="G14" s="76"/>
      <c r="H14" s="76"/>
      <c r="I14" s="77"/>
      <c r="J14" s="77"/>
      <c r="K14" s="77"/>
      <c r="L14" s="77"/>
      <c r="M14" s="103"/>
      <c r="N14" s="104"/>
      <c r="O14" s="104"/>
      <c r="P14" s="104"/>
      <c r="Q14" s="110"/>
      <c r="R14" s="106"/>
      <c r="S14" s="107" t="str">
        <f aca="false">SUBSTITUTE(MID(H14,10,3),"_","")</f>
        <v/>
      </c>
      <c r="T14" s="107" t="str">
        <f aca="false">IFERROR(IF(R14="","",R14),"")</f>
        <v/>
      </c>
      <c r="U14" s="108" t="str">
        <f aca="false">IF(T14="Unaffected","Yes",IF(T14="Carrier","Yes",IF(T14="Affected","No",IF(T14="Abnormal","No",IF(T14="Undetermined","No","")))))</f>
        <v/>
      </c>
      <c r="V14" s="109"/>
      <c r="W14" s="67"/>
      <c r="X14" s="67"/>
    </row>
    <row r="15" customFormat="false" ht="14.25" hidden="false" customHeight="true" outlineLevel="0" collapsed="false">
      <c r="A15" s="111" t="s">
        <v>76</v>
      </c>
      <c r="B15" s="76"/>
      <c r="C15" s="83"/>
      <c r="D15" s="88"/>
      <c r="E15" s="88"/>
      <c r="F15" s="67"/>
      <c r="G15" s="76"/>
      <c r="H15" s="76"/>
      <c r="I15" s="77"/>
      <c r="J15" s="77"/>
      <c r="K15" s="77"/>
      <c r="L15" s="77"/>
      <c r="M15" s="103"/>
      <c r="N15" s="104"/>
      <c r="O15" s="104"/>
      <c r="P15" s="104"/>
      <c r="Q15" s="105"/>
      <c r="R15" s="106"/>
      <c r="S15" s="107" t="str">
        <f aca="false">SUBSTITUTE(MID(H15,10,3),"_","")</f>
        <v/>
      </c>
      <c r="T15" s="107" t="str">
        <f aca="false">IFERROR(IF(R15="","",R15),"")</f>
        <v/>
      </c>
      <c r="U15" s="108" t="str">
        <f aca="false">IF(T15="Unaffected","Yes",IF(T15="Carrier","Yes",IF(T15="Affected","No",IF(T15="Abnormal","No",IF(T15="Undetermined","No","")))))</f>
        <v/>
      </c>
      <c r="V15" s="109"/>
      <c r="W15" s="67"/>
      <c r="X15" s="67"/>
    </row>
    <row r="16" customFormat="false" ht="14.25" hidden="false" customHeight="true" outlineLevel="0" collapsed="false">
      <c r="A16" s="67"/>
      <c r="B16" s="66"/>
      <c r="C16" s="66"/>
      <c r="D16" s="66"/>
      <c r="E16" s="66"/>
      <c r="F16" s="67"/>
      <c r="G16" s="76"/>
      <c r="H16" s="76"/>
      <c r="I16" s="77"/>
      <c r="J16" s="77"/>
      <c r="K16" s="77"/>
      <c r="L16" s="77"/>
      <c r="M16" s="103"/>
      <c r="N16" s="104"/>
      <c r="O16" s="104"/>
      <c r="P16" s="104"/>
      <c r="Q16" s="105"/>
      <c r="R16" s="106"/>
      <c r="S16" s="107" t="str">
        <f aca="false">SUBSTITUTE(MID(H16,10,3),"_","")</f>
        <v/>
      </c>
      <c r="T16" s="107" t="str">
        <f aca="false">IFERROR(IF(R16="","",R16),"")</f>
        <v/>
      </c>
      <c r="U16" s="108" t="str">
        <f aca="false">IF(T16="Unaffected","Yes",IF(T16="Carrier","Yes",IF(T16="Affected","No",IF(T16="Abnormal","No",IF(T16="Undetermined","No","")))))</f>
        <v/>
      </c>
      <c r="V16" s="109"/>
      <c r="W16" s="67"/>
      <c r="X16" s="67"/>
    </row>
    <row r="17" customFormat="false" ht="14.25" hidden="false" customHeight="true" outlineLevel="0" collapsed="false">
      <c r="A17" s="67"/>
      <c r="B17" s="66"/>
      <c r="C17" s="66"/>
      <c r="D17" s="66"/>
      <c r="E17" s="66"/>
      <c r="F17" s="67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7"/>
      <c r="W17" s="67"/>
      <c r="X17" s="67"/>
    </row>
    <row r="18" customFormat="false" ht="14.25" hidden="false" customHeight="true" outlineLevel="0" collapsed="false">
      <c r="A18" s="90" t="s">
        <v>77</v>
      </c>
      <c r="B18" s="66"/>
      <c r="C18" s="66"/>
      <c r="D18" s="66"/>
      <c r="E18" s="66"/>
      <c r="F18" s="67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7"/>
      <c r="W18" s="67"/>
      <c r="X18" s="67"/>
    </row>
    <row r="19" customFormat="false" ht="14.25" hidden="false" customHeight="true" outlineLevel="0" collapsed="false">
      <c r="A19" s="89" t="s">
        <v>78</v>
      </c>
      <c r="B19" s="66"/>
      <c r="C19" s="66"/>
      <c r="D19" s="66"/>
      <c r="E19" s="66"/>
      <c r="F19" s="67"/>
      <c r="G19" s="91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7"/>
      <c r="W19" s="67"/>
      <c r="X19" s="67"/>
    </row>
    <row r="20" customFormat="false" ht="14.25" hidden="false" customHeight="true" outlineLevel="0" collapsed="false">
      <c r="A20" s="92"/>
      <c r="B20" s="66"/>
      <c r="C20" s="66"/>
      <c r="D20" s="66"/>
      <c r="E20" s="66"/>
      <c r="F20" s="67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7"/>
      <c r="W20" s="67"/>
      <c r="X20" s="67"/>
    </row>
    <row r="21" customFormat="false" ht="14.25" hidden="false" customHeight="true" outlineLevel="0" collapsed="false">
      <c r="A21" s="1" t="s">
        <v>79</v>
      </c>
      <c r="B21" s="66"/>
      <c r="C21" s="66"/>
      <c r="D21" s="66"/>
      <c r="E21" s="66"/>
      <c r="F21" s="67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7"/>
      <c r="W21" s="67"/>
      <c r="X21" s="67"/>
    </row>
    <row r="22" customFormat="false" ht="14.25" hidden="false" customHeight="true" outlineLevel="0" collapsed="false">
      <c r="A22" s="92"/>
      <c r="B22" s="66"/>
      <c r="C22" s="66"/>
      <c r="D22" s="66"/>
      <c r="E22" s="66"/>
      <c r="F22" s="67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7"/>
      <c r="W22" s="67"/>
      <c r="X22" s="67"/>
    </row>
    <row r="23" customFormat="false" ht="14.25" hidden="false" customHeight="true" outlineLevel="0" collapsed="false">
      <c r="A23" s="92"/>
      <c r="B23" s="92"/>
      <c r="C23" s="66"/>
      <c r="D23" s="66"/>
      <c r="E23" s="66"/>
      <c r="F23" s="67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7"/>
      <c r="W23" s="67"/>
      <c r="X23" s="67"/>
    </row>
    <row r="24" customFormat="false" ht="14.25" hidden="false" customHeight="true" outlineLevel="0" collapsed="false">
      <c r="A24" s="67"/>
      <c r="B24" s="112"/>
      <c r="C24" s="66"/>
      <c r="D24" s="66"/>
      <c r="E24" s="66"/>
      <c r="F24" s="67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7"/>
      <c r="W24" s="67"/>
      <c r="X24" s="67"/>
    </row>
    <row r="25" customFormat="false" ht="14.25" hidden="false" customHeight="true" outlineLevel="0" collapsed="false">
      <c r="A25" s="67"/>
      <c r="B25" s="66"/>
      <c r="C25" s="66"/>
      <c r="D25" s="66"/>
      <c r="E25" s="66"/>
      <c r="F25" s="67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7"/>
      <c r="W25" s="67"/>
      <c r="X25" s="67"/>
    </row>
    <row r="26" customFormat="false" ht="14.25" hidden="false" customHeight="true" outlineLevel="0" collapsed="false">
      <c r="A26" s="67"/>
      <c r="B26" s="66"/>
      <c r="C26" s="66"/>
      <c r="D26" s="66"/>
      <c r="E26" s="66"/>
      <c r="F26" s="67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7"/>
      <c r="W26" s="67"/>
      <c r="X26" s="67"/>
    </row>
  </sheetData>
  <mergeCells count="8">
    <mergeCell ref="I1:L1"/>
    <mergeCell ref="N1:R1"/>
    <mergeCell ref="S1:U1"/>
    <mergeCell ref="B2:E2"/>
    <mergeCell ref="B3:C3"/>
    <mergeCell ref="D3:E3"/>
    <mergeCell ref="B12:C12"/>
    <mergeCell ref="D12:E12"/>
  </mergeCells>
  <dataValidations count="2">
    <dataValidation allowBlank="true" errorStyle="stop" operator="between" showDropDown="false" showErrorMessage="true" showInputMessage="true" sqref="Q3:Q16" type="list">
      <formula1>"Mat,Pat"</formula1>
      <formula2>0</formula2>
    </dataValidation>
    <dataValidation allowBlank="true" errorStyle="stop" operator="between" showDropDown="false" showErrorMessage="true" showInputMessage="true" sqref="R3:R16" type="list">
      <formula1>"Unaffected,Carrier,Affected,Abnormal,Not determined,Affected male,Unaffected male,Carrier female,Affected female,Unaffected female"</formula1>
      <formula2>0</formula2>
    </dataValidation>
  </dataValidations>
  <hyperlinks>
    <hyperlink ref="A21" r:id="rId1" display="..\..\..\..\Current\PGD\pgd results\SNP array\Genotyping data from MSV &amp; ChAS detail view exports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V30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D38" activeCellId="0" sqref="D38"/>
    </sheetView>
  </sheetViews>
  <sheetFormatPr defaultColWidth="8.57421875" defaultRowHeight="15" zeroHeight="false" outlineLevelRow="0" outlineLevelCol="0"/>
  <cols>
    <col collapsed="false" customWidth="true" hidden="false" outlineLevel="0" max="1" min="1" style="1" width="19.28"/>
    <col collapsed="false" customWidth="true" hidden="false" outlineLevel="0" max="2" min="2" style="1" width="18.28"/>
    <col collapsed="false" customWidth="true" hidden="false" outlineLevel="0" max="4" min="4" style="1" width="10.85"/>
    <col collapsed="false" customWidth="true" hidden="false" outlineLevel="0" max="5" min="5" style="1" width="13"/>
    <col collapsed="false" customWidth="true" hidden="false" outlineLevel="0" max="7" min="7" style="1" width="12"/>
    <col collapsed="false" customWidth="true" hidden="false" outlineLevel="0" max="8" min="8" style="1" width="18.28"/>
    <col collapsed="false" customWidth="true" hidden="false" outlineLevel="0" max="9" min="9" style="1" width="20.57"/>
    <col collapsed="false" customWidth="true" hidden="false" outlineLevel="0" max="10" min="10" style="1" width="20.28"/>
    <col collapsed="false" customWidth="true" hidden="false" outlineLevel="0" max="11" min="11" style="1" width="11.43"/>
    <col collapsed="false" customWidth="true" hidden="false" outlineLevel="0" max="12" min="12" style="1" width="20.57"/>
    <col collapsed="false" customWidth="true" hidden="false" outlineLevel="0" max="13" min="13" style="1" width="12.57"/>
    <col collapsed="false" customWidth="true" hidden="false" outlineLevel="0" max="14" min="14" style="1" width="61.29"/>
    <col collapsed="false" customWidth="true" hidden="false" outlineLevel="0" max="15" min="15" style="1" width="15.14"/>
    <col collapsed="false" customWidth="true" hidden="false" outlineLevel="0" max="17" min="16" style="1" width="12.57"/>
    <col collapsed="false" customWidth="true" hidden="false" outlineLevel="0" max="18" min="18" style="1" width="4.28"/>
    <col collapsed="false" customWidth="true" hidden="false" outlineLevel="0" max="21" min="19" style="1" width="12.57"/>
    <col collapsed="false" customWidth="true" hidden="false" outlineLevel="0" max="22" min="22" style="1" width="25.72"/>
  </cols>
  <sheetData>
    <row r="1" customFormat="false" ht="14.25" hidden="false" customHeight="true" outlineLevel="0" collapsed="false">
      <c r="A1" s="1" t="s">
        <v>103</v>
      </c>
      <c r="B1" s="113" t="n">
        <v>1</v>
      </c>
      <c r="C1" s="1" t="s">
        <v>104</v>
      </c>
      <c r="D1" s="1" t="s">
        <v>105</v>
      </c>
      <c r="E1" s="1" t="s">
        <v>106</v>
      </c>
      <c r="F1" s="1" t="s">
        <v>107</v>
      </c>
      <c r="H1" s="60" t="s">
        <v>108</v>
      </c>
      <c r="I1" s="60" t="s">
        <v>103</v>
      </c>
      <c r="J1" s="60" t="s">
        <v>109</v>
      </c>
      <c r="K1" s="1" t="s">
        <v>110</v>
      </c>
      <c r="L1" s="1" t="s">
        <v>111</v>
      </c>
      <c r="N1" s="114" t="s">
        <v>112</v>
      </c>
      <c r="O1" s="114" t="s">
        <v>113</v>
      </c>
      <c r="P1" s="115"/>
      <c r="V1" s="1" t="s">
        <v>114</v>
      </c>
    </row>
    <row r="2" customFormat="false" ht="14.25" hidden="false" customHeight="true" outlineLevel="0" collapsed="false">
      <c r="A2" s="1" t="s">
        <v>109</v>
      </c>
      <c r="B2" s="113" t="n">
        <v>2</v>
      </c>
      <c r="C2" s="1" t="s">
        <v>115</v>
      </c>
      <c r="D2" s="1" t="s">
        <v>116</v>
      </c>
      <c r="E2" s="1" t="s">
        <v>117</v>
      </c>
      <c r="F2" s="1" t="s">
        <v>118</v>
      </c>
      <c r="H2" s="116"/>
      <c r="I2" s="116"/>
      <c r="J2" s="116"/>
      <c r="K2" s="1" t="s">
        <v>119</v>
      </c>
      <c r="L2" s="1" t="s">
        <v>120</v>
      </c>
      <c r="N2" s="115" t="s">
        <v>121</v>
      </c>
      <c r="O2" s="117" t="e">
        <f aca="true" t="array" ref="O2:O4">SUBSTITUTE(OFFSET(data_validation!$H$1,2, MATCH(data_entry!$B$3, data_validation!$H1:$J1,0)-1,3,1), 0, "")</f>
        <v>#N/A</v>
      </c>
      <c r="P2" s="115"/>
      <c r="V2" s="1" t="s">
        <v>122</v>
      </c>
    </row>
    <row r="3" customFormat="false" ht="14.25" hidden="false" customHeight="true" outlineLevel="0" collapsed="false">
      <c r="A3" s="1" t="s">
        <v>108</v>
      </c>
      <c r="B3" s="113" t="n">
        <v>3</v>
      </c>
      <c r="C3" s="1" t="s">
        <v>123</v>
      </c>
      <c r="D3" s="1" t="s">
        <v>124</v>
      </c>
      <c r="E3" s="1" t="s">
        <v>125</v>
      </c>
      <c r="G3" s="118" t="s">
        <v>126</v>
      </c>
      <c r="H3" s="60" t="s">
        <v>115</v>
      </c>
      <c r="I3" s="60" t="s">
        <v>104</v>
      </c>
      <c r="J3" s="60" t="s">
        <v>104</v>
      </c>
      <c r="N3" s="115"/>
      <c r="O3" s="1" t="e">
        <v>#N/A</v>
      </c>
      <c r="P3" s="115"/>
      <c r="V3" s="1" t="s">
        <v>127</v>
      </c>
    </row>
    <row r="4" customFormat="false" ht="14.25" hidden="false" customHeight="true" outlineLevel="0" collapsed="false">
      <c r="B4" s="113" t="n">
        <v>4</v>
      </c>
      <c r="E4" s="1" t="s">
        <v>128</v>
      </c>
      <c r="G4" s="118"/>
      <c r="H4" s="60" t="s">
        <v>104</v>
      </c>
      <c r="I4" s="60" t="s">
        <v>115</v>
      </c>
      <c r="J4" s="60" t="s">
        <v>115</v>
      </c>
      <c r="L4" s="119" t="n">
        <f aca="false">data_entry!B3</f>
        <v>0</v>
      </c>
      <c r="M4" s="1" t="s">
        <v>129</v>
      </c>
      <c r="N4" s="115"/>
      <c r="O4" s="1" t="e">
        <v>#N/A</v>
      </c>
      <c r="P4" s="115"/>
      <c r="V4" s="1" t="s">
        <v>130</v>
      </c>
    </row>
    <row r="5" customFormat="false" ht="14.25" hidden="false" customHeight="true" outlineLevel="0" collapsed="false">
      <c r="B5" s="113" t="n">
        <v>5</v>
      </c>
      <c r="E5" s="1" t="s">
        <v>131</v>
      </c>
      <c r="G5" s="118"/>
      <c r="H5" s="60"/>
      <c r="I5" s="60" t="s">
        <v>123</v>
      </c>
      <c r="J5" s="60" t="s">
        <v>123</v>
      </c>
      <c r="N5" s="115"/>
      <c r="P5" s="115"/>
      <c r="V5" s="1" t="s">
        <v>132</v>
      </c>
    </row>
    <row r="6" customFormat="false" ht="14.25" hidden="false" customHeight="true" outlineLevel="0" collapsed="false">
      <c r="B6" s="113" t="n">
        <v>6</v>
      </c>
      <c r="N6" s="120" t="s">
        <v>133</v>
      </c>
      <c r="O6" s="117" t="e">
        <f aca="true" t="array" ref="O6:O7">SUBSTITUTE(OFFSET(data_validation!$H$1,6, MATCH(data_entry!$B$3, data_validation!$H1:$J1,0)-1,2,1), 0, "")</f>
        <v>#N/A</v>
      </c>
      <c r="P6" s="115"/>
      <c r="V6" s="1" t="s">
        <v>134</v>
      </c>
    </row>
    <row r="7" customFormat="false" ht="14.25" hidden="false" customHeight="true" outlineLevel="0" collapsed="false">
      <c r="B7" s="113" t="n">
        <v>7</v>
      </c>
      <c r="G7" s="118" t="s">
        <v>135</v>
      </c>
      <c r="H7" s="121" t="s">
        <v>136</v>
      </c>
      <c r="I7" s="121" t="s">
        <v>116</v>
      </c>
      <c r="J7" s="121" t="s">
        <v>116</v>
      </c>
      <c r="N7" s="120"/>
      <c r="O7" s="1" t="e">
        <v>#N/A</v>
      </c>
      <c r="P7" s="115"/>
      <c r="V7" s="1" t="s">
        <v>137</v>
      </c>
    </row>
    <row r="8" customFormat="false" ht="14.25" hidden="false" customHeight="true" outlineLevel="0" collapsed="false">
      <c r="B8" s="113" t="n">
        <v>8</v>
      </c>
      <c r="G8" s="118"/>
      <c r="H8" s="121" t="s">
        <v>116</v>
      </c>
      <c r="I8" s="121" t="s">
        <v>124</v>
      </c>
      <c r="J8" s="121" t="s">
        <v>124</v>
      </c>
      <c r="N8" s="115"/>
      <c r="P8" s="115"/>
      <c r="V8" s="1" t="s">
        <v>138</v>
      </c>
    </row>
    <row r="9" customFormat="false" ht="14.25" hidden="false" customHeight="true" outlineLevel="0" collapsed="false">
      <c r="B9" s="113" t="n">
        <v>9</v>
      </c>
      <c r="G9" s="118"/>
      <c r="H9" s="121" t="s">
        <v>139</v>
      </c>
      <c r="I9" s="121"/>
      <c r="J9" s="121"/>
      <c r="N9" s="122" t="s">
        <v>140</v>
      </c>
      <c r="O9" s="117" t="e">
        <f aca="true" t="array" ref="O9:O13">SUBSTITUTE(OFFSET(data_validation!$H$1,9, MATCH(data_entry!$B$3, data_validation!$H1:$J1,0)-1,5,1), 0, "")</f>
        <v>#N/A</v>
      </c>
      <c r="P9" s="115"/>
      <c r="V9" s="1" t="s">
        <v>141</v>
      </c>
    </row>
    <row r="10" customFormat="false" ht="14.25" hidden="false" customHeight="true" outlineLevel="0" collapsed="false">
      <c r="B10" s="113" t="n">
        <v>10</v>
      </c>
      <c r="G10" s="118" t="s">
        <v>140</v>
      </c>
      <c r="H10" s="123" t="s">
        <v>142</v>
      </c>
      <c r="I10" s="123" t="s">
        <v>142</v>
      </c>
      <c r="J10" s="123" t="s">
        <v>143</v>
      </c>
      <c r="N10" s="122"/>
      <c r="O10" s="1" t="e">
        <v>#N/A</v>
      </c>
      <c r="P10" s="115"/>
      <c r="V10" s="1" t="s">
        <v>144</v>
      </c>
    </row>
    <row r="11" customFormat="false" ht="14.25" hidden="false" customHeight="true" outlineLevel="0" collapsed="false">
      <c r="B11" s="113" t="n">
        <v>11</v>
      </c>
      <c r="G11" s="118"/>
      <c r="H11" s="123" t="s">
        <v>145</v>
      </c>
      <c r="I11" s="123" t="s">
        <v>145</v>
      </c>
      <c r="J11" s="123" t="s">
        <v>146</v>
      </c>
      <c r="N11" s="122"/>
      <c r="O11" s="1" t="e">
        <v>#N/A</v>
      </c>
      <c r="P11" s="115"/>
      <c r="V11" s="1" t="s">
        <v>147</v>
      </c>
    </row>
    <row r="12" customFormat="false" ht="14.25" hidden="false" customHeight="true" outlineLevel="0" collapsed="false">
      <c r="B12" s="113" t="n">
        <v>12</v>
      </c>
      <c r="G12" s="118"/>
      <c r="H12" s="123" t="s">
        <v>143</v>
      </c>
      <c r="I12" s="123" t="s">
        <v>143</v>
      </c>
      <c r="J12" s="123" t="s">
        <v>92</v>
      </c>
      <c r="N12" s="122"/>
      <c r="O12" s="1" t="e">
        <v>#N/A</v>
      </c>
      <c r="P12" s="115"/>
      <c r="V12" s="1" t="s">
        <v>148</v>
      </c>
    </row>
    <row r="13" customFormat="false" ht="14.25" hidden="false" customHeight="true" outlineLevel="0" collapsed="false">
      <c r="B13" s="113" t="n">
        <v>13</v>
      </c>
      <c r="G13" s="118"/>
      <c r="H13" s="123" t="s">
        <v>146</v>
      </c>
      <c r="I13" s="123" t="s">
        <v>146</v>
      </c>
      <c r="J13" s="123" t="s">
        <v>149</v>
      </c>
      <c r="N13" s="122"/>
      <c r="O13" s="1" t="e">
        <v>#N/A</v>
      </c>
      <c r="P13" s="115"/>
      <c r="V13" s="1" t="s">
        <v>150</v>
      </c>
    </row>
    <row r="14" customFormat="false" ht="14.25" hidden="false" customHeight="true" outlineLevel="0" collapsed="false">
      <c r="B14" s="113" t="n">
        <v>14</v>
      </c>
      <c r="G14" s="118"/>
      <c r="H14" s="123" t="s">
        <v>92</v>
      </c>
      <c r="I14" s="123" t="s">
        <v>92</v>
      </c>
      <c r="J14" s="123"/>
      <c r="N14" s="115"/>
      <c r="P14" s="115"/>
      <c r="V14" s="1" t="s">
        <v>151</v>
      </c>
    </row>
    <row r="15" customFormat="false" ht="14.25" hidden="false" customHeight="true" outlineLevel="0" collapsed="false">
      <c r="B15" s="113" t="n">
        <v>15</v>
      </c>
      <c r="G15" s="118"/>
      <c r="H15" s="123" t="s">
        <v>149</v>
      </c>
      <c r="I15" s="123" t="s">
        <v>149</v>
      </c>
      <c r="J15" s="123"/>
      <c r="N15" s="124" t="s">
        <v>152</v>
      </c>
      <c r="O15" s="117" t="e">
        <f aca="true" t="array" ref="O15:O17">SUBSTITUTE(OFFSET(data_validation!$H$1,15, MATCH(data_entry!$B$3, data_validation!$H1:$J1,0)-1,3,1), 0, "")</f>
        <v>#N/A</v>
      </c>
      <c r="P15" s="115"/>
      <c r="V15" s="1" t="s">
        <v>153</v>
      </c>
    </row>
    <row r="16" customFormat="false" ht="14.25" hidden="false" customHeight="true" outlineLevel="0" collapsed="false">
      <c r="B16" s="113" t="n">
        <v>16</v>
      </c>
      <c r="G16" s="118" t="s">
        <v>152</v>
      </c>
      <c r="H16" s="1" t="s">
        <v>154</v>
      </c>
      <c r="I16" s="1" t="s">
        <v>154</v>
      </c>
      <c r="J16" s="1" t="s">
        <v>155</v>
      </c>
      <c r="N16" s="124"/>
      <c r="O16" s="1" t="e">
        <v>#N/A</v>
      </c>
      <c r="P16" s="115"/>
      <c r="V16" s="1" t="s">
        <v>156</v>
      </c>
    </row>
    <row r="17" customFormat="false" ht="14.25" hidden="false" customHeight="true" outlineLevel="0" collapsed="false">
      <c r="B17" s="113" t="n">
        <v>17</v>
      </c>
      <c r="G17" s="118"/>
      <c r="H17" s="1" t="s">
        <v>155</v>
      </c>
      <c r="I17" s="1" t="s">
        <v>157</v>
      </c>
      <c r="N17" s="124"/>
      <c r="O17" s="1" t="e">
        <v>#N/A</v>
      </c>
      <c r="P17" s="115"/>
      <c r="V17" s="1" t="s">
        <v>158</v>
      </c>
    </row>
    <row r="18" customFormat="false" ht="14.25" hidden="false" customHeight="true" outlineLevel="0" collapsed="false">
      <c r="B18" s="113" t="n">
        <v>18</v>
      </c>
      <c r="G18" s="118"/>
      <c r="I18" s="1" t="s">
        <v>155</v>
      </c>
      <c r="N18" s="125"/>
      <c r="O18" s="115"/>
      <c r="P18" s="115"/>
      <c r="V18" s="1" t="s">
        <v>159</v>
      </c>
    </row>
    <row r="19" customFormat="false" ht="14.25" hidden="false" customHeight="true" outlineLevel="0" collapsed="false">
      <c r="B19" s="113" t="n">
        <v>19</v>
      </c>
      <c r="G19" s="126"/>
      <c r="V19" s="1" t="s">
        <v>160</v>
      </c>
    </row>
    <row r="20" customFormat="false" ht="14.25" hidden="false" customHeight="true" outlineLevel="0" collapsed="false">
      <c r="B20" s="113" t="n">
        <v>20</v>
      </c>
      <c r="V20" s="1" t="s">
        <v>161</v>
      </c>
    </row>
    <row r="21" customFormat="false" ht="14.25" hidden="false" customHeight="true" outlineLevel="0" collapsed="false">
      <c r="B21" s="113" t="n">
        <v>21</v>
      </c>
      <c r="V21" s="1" t="s">
        <v>162</v>
      </c>
    </row>
    <row r="22" customFormat="false" ht="14.25" hidden="false" customHeight="true" outlineLevel="0" collapsed="false">
      <c r="B22" s="113" t="n">
        <v>22</v>
      </c>
      <c r="M22" s="116" t="s">
        <v>163</v>
      </c>
      <c r="N22" s="116"/>
      <c r="O22" s="116" t="s">
        <v>164</v>
      </c>
      <c r="P22" s="116"/>
      <c r="Q22" s="116"/>
      <c r="R22" s="116"/>
      <c r="S22" s="116" t="s">
        <v>165</v>
      </c>
      <c r="V22" s="1" t="s">
        <v>166</v>
      </c>
    </row>
    <row r="23" customFormat="false" ht="14.25" hidden="false" customHeight="true" outlineLevel="0" collapsed="false">
      <c r="B23" s="113" t="s">
        <v>167</v>
      </c>
      <c r="M23" s="48" t="s">
        <v>168</v>
      </c>
      <c r="N23" s="48"/>
      <c r="O23" s="48" t="s">
        <v>168</v>
      </c>
      <c r="P23" s="48"/>
      <c r="Q23" s="48"/>
      <c r="R23" s="48"/>
      <c r="S23" s="48" t="s">
        <v>168</v>
      </c>
      <c r="T23" s="48"/>
      <c r="V23" s="1" t="s">
        <v>169</v>
      </c>
    </row>
    <row r="24" customFormat="false" ht="14.25" hidden="false" customHeight="true" outlineLevel="0" collapsed="false">
      <c r="B24" s="113" t="s">
        <v>170</v>
      </c>
      <c r="M24" s="48" t="s">
        <v>171</v>
      </c>
      <c r="N24" s="48"/>
      <c r="O24" s="48" t="s">
        <v>172</v>
      </c>
      <c r="P24" s="48"/>
      <c r="Q24" s="48"/>
      <c r="R24" s="48"/>
      <c r="S24" s="48" t="s">
        <v>173</v>
      </c>
      <c r="T24" s="48"/>
      <c r="V24" s="1" t="s">
        <v>174</v>
      </c>
    </row>
    <row r="25" customFormat="false" ht="14.25" hidden="false" customHeight="true" outlineLevel="0" collapsed="false">
      <c r="M25" s="48" t="s">
        <v>175</v>
      </c>
      <c r="N25" s="48"/>
      <c r="O25" s="48" t="s">
        <v>176</v>
      </c>
      <c r="P25" s="48" t="s">
        <v>177</v>
      </c>
      <c r="S25" s="48" t="s">
        <v>176</v>
      </c>
      <c r="T25" s="48" t="s">
        <v>177</v>
      </c>
      <c r="V25" s="1" t="s">
        <v>178</v>
      </c>
    </row>
    <row r="26" customFormat="false" ht="14.25" hidden="false" customHeight="true" outlineLevel="0" collapsed="false">
      <c r="M26" s="48" t="s">
        <v>179</v>
      </c>
      <c r="N26" s="48"/>
      <c r="O26" s="48"/>
      <c r="P26" s="48" t="s">
        <v>180</v>
      </c>
      <c r="S26" s="48"/>
      <c r="T26" s="48" t="s">
        <v>180</v>
      </c>
      <c r="V26" s="1" t="s">
        <v>181</v>
      </c>
    </row>
    <row r="27" customFormat="false" ht="14.25" hidden="false" customHeight="true" outlineLevel="0" collapsed="false">
      <c r="M27" s="1" t="s">
        <v>182</v>
      </c>
      <c r="O27" s="48"/>
      <c r="P27" s="48" t="s">
        <v>183</v>
      </c>
      <c r="S27" s="48"/>
      <c r="T27" s="48" t="s">
        <v>183</v>
      </c>
      <c r="V27" s="1" t="s">
        <v>184</v>
      </c>
    </row>
    <row r="28" customFormat="false" ht="14.25" hidden="false" customHeight="true" outlineLevel="0" collapsed="false">
      <c r="O28" s="48"/>
      <c r="P28" s="48" t="s">
        <v>185</v>
      </c>
      <c r="S28" s="1" t="s">
        <v>186</v>
      </c>
      <c r="V28" s="1" t="s">
        <v>187</v>
      </c>
    </row>
    <row r="29" customFormat="false" ht="14.25" hidden="false" customHeight="true" outlineLevel="0" collapsed="false">
      <c r="O29" s="48"/>
      <c r="P29" s="48" t="s">
        <v>188</v>
      </c>
    </row>
    <row r="30" customFormat="false" ht="14.25" hidden="false" customHeight="true" outlineLevel="0" collapsed="false">
      <c r="O30" s="48" t="s">
        <v>189</v>
      </c>
      <c r="P30" s="48"/>
    </row>
  </sheetData>
  <mergeCells count="7">
    <mergeCell ref="G3:G5"/>
    <mergeCell ref="N6:N7"/>
    <mergeCell ref="G7:G9"/>
    <mergeCell ref="N9:N13"/>
    <mergeCell ref="G10:G15"/>
    <mergeCell ref="N15:N17"/>
    <mergeCell ref="G16:G18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26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2022-03-11T11:50:08Z</dcterms:created>
  <dc:creator>Smith Graeme</dc:creator>
  <dc:description/>
  <dc:language>en-GB</dc:language>
  <cp:lastModifiedBy/>
  <dcterms:modified xsi:type="dcterms:W3CDTF">2023-08-24T12:32:30Z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