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xmlns:r="http://schemas.openxmlformats.org/officeDocument/2006/relationships" name="data_entry" sheetId="1" state="visible" r:id="rId1"/>
    <sheet xmlns:r="http://schemas.openxmlformats.org/officeDocument/2006/relationships" name="Precase" sheetId="2" state="visible" r:id="rId2"/>
    <sheet xmlns:r="http://schemas.openxmlformats.org/officeDocument/2006/relationships" name="Case" sheetId="3" state="visible" r:id="rId3"/>
    <sheet xmlns:r="http://schemas.openxmlformats.org/officeDocument/2006/relationships" name="data_validation" sheetId="4" state="visible" r:id="rId4"/>
  </sheets>
  <definedNames>
    <definedName name="biopsy_number">data_entry!$M$13</definedName>
    <definedName name="chromosome">data_entry!$B$30</definedName>
    <definedName name="consanguineous">data_entry!$H$15</definedName>
    <definedName name="de_novo">data_entry!$H$17</definedName>
    <definedName name="disease">data_entry!$B$16</definedName>
    <definedName name="disease_omim">data_entry!$C$26</definedName>
    <definedName name="embryo_data">data_entry!$J$23:$M$47</definedName>
    <definedName name="exclusion">data_entry!$M$17</definedName>
    <definedName name="female_partner_hosp_num">data_entry!$B$11</definedName>
    <definedName name="flanking_region_size">data_entry!$B$34</definedName>
    <definedName name="gene">data_entry!$B$26</definedName>
    <definedName name="gene_end">data_entry!$C$32</definedName>
    <definedName name="gene_omim">data_entry!$C$26</definedName>
    <definedName name="gene_start">data_entry!$B$32</definedName>
    <definedName name="input_file">data_entry!$M$11</definedName>
    <definedName name="maternal_mutation">data_entry!$B$19</definedName>
    <definedName name="mode_of_inheritance">data_entry!$B$3</definedName>
    <definedName name="multi_analysis">data_entry!$B$14</definedName>
    <definedName name="partner1_details">data_entry!$G$4:$M$4</definedName>
    <definedName name="partner2_details">data_entry!$G$6:$M$6</definedName>
    <definedName name="paste_gene">data_entry!$B$28</definedName>
    <definedName name="paternal_mutation">data_entry!$B$20</definedName>
    <definedName name="pgd_worksheet">data_entry!$B$5</definedName>
    <definedName name="pgd_worksheet_denovo">data_entry!$B$12</definedName>
    <definedName name="pru">data_entry!$B$10</definedName>
    <definedName name="reference">data_entry!$H$8:$M$8</definedName>
    <definedName name="ref_relationship">data_entry!$H$12</definedName>
    <definedName name="ref_relationship_to_couple">data_entry!$H$13</definedName>
    <definedName name="ref_seq">data_entry!$B$21</definedName>
    <definedName name="ref_status">data_entry!$H$11</definedName>
    <definedName name="template_version">data_entry!$B$37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2">
    <numFmt numFmtId="164" formatCode="dd/mm/yy;@"/>
    <numFmt numFmtId="165" formatCode="dd/mm/yyyy"/>
  </numFmts>
  <fonts count="30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Calibri"/>
      <charset val="1"/>
      <family val="2"/>
      <b val="1"/>
      <sz val="11"/>
    </font>
    <font>
      <name val="Calibri"/>
      <charset val="1"/>
      <family val="2"/>
      <b val="1"/>
      <color rgb="FFFF0000"/>
      <sz val="11"/>
    </font>
    <font>
      <name val="Calibri"/>
      <charset val="1"/>
      <family val="2"/>
      <b val="1"/>
      <color rgb="FFFFFFFF"/>
      <sz val="11"/>
    </font>
    <font>
      <name val="Calibri"/>
      <charset val="1"/>
      <family val="2"/>
      <b val="1"/>
      <i val="1"/>
      <color rgb="FF000000"/>
      <sz val="11"/>
    </font>
    <font>
      <name val="Calibri"/>
      <charset val="1"/>
      <family val="2"/>
      <color rgb="FF444444"/>
      <sz val="11"/>
    </font>
    <font>
      <name val="Calibri"/>
      <charset val="1"/>
      <family val="2"/>
      <color rgb="FFFF0000"/>
      <sz val="11"/>
    </font>
    <font>
      <name val="Calibri"/>
      <charset val="1"/>
      <family val="2"/>
      <sz val="11"/>
    </font>
    <font>
      <name val="Calibri"/>
      <family val="0"/>
      <b val="1"/>
      <color rgb="FFFFFFFF"/>
      <sz val="11"/>
    </font>
    <font>
      <name val="Calibri"/>
      <family val="0"/>
      <color rgb="FFFFFFFF"/>
      <sz val="11"/>
    </font>
    <font>
      <name val="Calibri"/>
      <family val="0"/>
      <b val="1"/>
      <color rgb="FF000000"/>
      <sz val="11"/>
    </font>
    <font>
      <name val="Calibri"/>
      <charset val="1"/>
      <family val="0"/>
      <color rgb="FF000000"/>
      <sz val="11"/>
    </font>
    <font>
      <name val="Arial"/>
      <charset val="1"/>
      <family val="2"/>
      <b val="1"/>
      <color rgb="FF000000"/>
      <sz val="11"/>
    </font>
    <font>
      <name val="Arial"/>
      <charset val="1"/>
      <family val="2"/>
      <b val="1"/>
      <color rgb="FF000000"/>
      <sz val="12"/>
    </font>
    <font>
      <name val="Arial"/>
      <charset val="1"/>
      <family val="2"/>
      <b val="1"/>
      <color rgb="FF0000FF"/>
      <sz val="12"/>
    </font>
    <font>
      <name val="Arial"/>
      <charset val="1"/>
      <family val="2"/>
      <color rgb="FF000000"/>
      <sz val="10"/>
    </font>
    <font>
      <name val="Arial"/>
      <charset val="1"/>
      <family val="2"/>
      <b val="1"/>
      <sz val="10"/>
    </font>
    <font>
      <name val="Arial"/>
      <charset val="1"/>
      <family val="2"/>
      <b val="1"/>
      <color rgb="FF000000"/>
      <sz val="10"/>
    </font>
    <font>
      <name val="Calibri"/>
      <charset val="1"/>
      <family val="2"/>
      <b val="1"/>
      <color rgb="FFFF0000"/>
      <sz val="10"/>
    </font>
    <font>
      <name val="Arial"/>
      <charset val="1"/>
      <family val="2"/>
      <b val="1"/>
      <color rgb="FFFF0000"/>
      <sz val="10"/>
    </font>
    <font>
      <name val="Calibri"/>
      <charset val="1"/>
      <family val="2"/>
      <b val="1"/>
      <sz val="10"/>
    </font>
    <font>
      <name val="Arial"/>
      <charset val="1"/>
      <family val="2"/>
      <sz val="10"/>
    </font>
    <font>
      <name val="Arial"/>
      <charset val="1"/>
      <family val="2"/>
      <b val="1"/>
      <color rgb="FF0000FF"/>
      <sz val="10"/>
    </font>
    <font>
      <name val="Arial"/>
      <charset val="1"/>
      <family val="2"/>
      <color rgb="FFFF0000"/>
      <sz val="10"/>
    </font>
    <font>
      <name val="Calibri"/>
      <charset val="1"/>
      <family val="2"/>
      <color rgb="FF0563C1"/>
      <sz val="11"/>
      <u val="single"/>
    </font>
    <font>
      <name val="Calibri"/>
      <charset val="1"/>
      <family val="2"/>
      <color rgb="FFFFFFFF"/>
      <sz val="11"/>
    </font>
  </fonts>
  <fills count="26">
    <fill>
      <patternFill/>
    </fill>
    <fill>
      <patternFill patternType="gray125"/>
    </fill>
    <fill>
      <patternFill patternType="solid">
        <fgColor rgb="FFBF8F00"/>
        <bgColor rgb="FFC65911"/>
      </patternFill>
    </fill>
    <fill>
      <patternFill patternType="solid">
        <fgColor rgb="FF2F75B5"/>
        <bgColor rgb="FF4472C4"/>
      </patternFill>
    </fill>
    <fill>
      <patternFill patternType="solid">
        <fgColor rgb="FFFFD966"/>
        <bgColor rgb="FFF4B084"/>
      </patternFill>
    </fill>
    <fill>
      <patternFill patternType="solid">
        <fgColor rgb="FF9BC2E6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8080"/>
      </patternFill>
    </fill>
    <fill>
      <patternFill patternType="solid">
        <fgColor rgb="FF757171"/>
        <bgColor rgb="FF666699"/>
      </patternFill>
    </fill>
    <fill>
      <patternFill patternType="solid">
        <fgColor rgb="FF4472C4"/>
        <bgColor rgb="FF2F75B5"/>
      </patternFill>
    </fill>
    <fill>
      <patternFill patternType="solid">
        <fgColor rgb="FFD0CECE"/>
        <bgColor rgb="FFBFBFBF"/>
      </patternFill>
    </fill>
    <fill>
      <patternFill patternType="solid">
        <fgColor rgb="FFC5E0B4"/>
        <bgColor rgb="FFD0CECE"/>
      </patternFill>
    </fill>
    <fill>
      <patternFill patternType="solid">
        <fgColor rgb="FFFFFFFF"/>
        <bgColor rgb="FFFFFFCC"/>
      </patternFill>
    </fill>
    <fill>
      <patternFill patternType="solid">
        <fgColor rgb="FFC65911"/>
        <bgColor rgb="FF993300"/>
      </patternFill>
    </fill>
    <fill>
      <patternFill patternType="solid">
        <fgColor rgb="FFF4B084"/>
        <bgColor rgb="FFFFD966"/>
      </patternFill>
    </fill>
    <fill>
      <patternFill patternType="solid">
        <fgColor rgb="FF92D050"/>
        <bgColor rgb="FFA9D08E"/>
      </patternFill>
    </fill>
    <fill>
      <patternFill patternType="solid">
        <fgColor rgb="FF548235"/>
        <bgColor rgb="FF757171"/>
      </patternFill>
    </fill>
    <fill>
      <patternFill patternType="solid">
        <fgColor rgb="FFA9D08E"/>
        <bgColor rgb="FFA9D18E"/>
      </patternFill>
    </fill>
    <fill>
      <patternFill patternType="solid">
        <fgColor rgb="FFA9D18E"/>
        <bgColor rgb="FFA9D08E"/>
      </patternFill>
    </fill>
    <fill>
      <patternFill patternType="solid">
        <fgColor rgb="FFE7E6E6"/>
        <bgColor rgb="FFCCECFF"/>
      </patternFill>
    </fill>
    <fill>
      <patternFill patternType="solid">
        <fgColor rgb="FFFFF2CC"/>
        <bgColor rgb="FFFFFFCC"/>
      </patternFill>
    </fill>
    <fill>
      <patternFill patternType="solid">
        <fgColor rgb="FFFFFFCC"/>
        <bgColor rgb="FFFFF2CC"/>
      </patternFill>
    </fill>
    <fill>
      <patternFill patternType="solid">
        <fgColor rgb="FFBFBFBF"/>
        <bgColor rgb="FFD0CECE"/>
      </patternFill>
    </fill>
    <fill>
      <patternFill patternType="solid">
        <fgColor rgb="FFCCECFF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AEAAAA"/>
        <bgColor rgb="FFBFBFBF"/>
      </patternFill>
    </fill>
  </fills>
  <borders count="11">
    <border>
      <left/>
      <right/>
      <top/>
      <bottom/>
      <diagonal/>
    </border>
    <border>
      <left style="thin"/>
      <right style="thin"/>
      <top style="thin"/>
      <bottom style="thin"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n"/>
      <diagonal/>
    </border>
    <border>
      <left style="thin"/>
      <right/>
      <top style="thin"/>
      <bottom style="thin"/>
      <diagonal/>
    </border>
    <border>
      <left style="thin"/>
      <right style="thin"/>
      <top/>
      <bottom style="thin"/>
      <diagonal/>
    </border>
    <border>
      <left/>
      <right style="thin"/>
      <top style="thin"/>
      <bottom style="thin"/>
      <diagonal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</borders>
  <cellStyleXfs count="7">
    <xf numFmtId="0" fontId="0" fillId="0" borderId="0" applyAlignment="1">
      <alignment horizontal="general" vertical="bottom"/>
    </xf>
    <xf numFmtId="0" fontId="3" fillId="0" borderId="0"/>
    <xf numFmtId="0" fontId="3" fillId="0" borderId="0"/>
    <xf numFmtId="0" fontId="3" fillId="0" borderId="0"/>
    <xf numFmtId="0" fontId="3" fillId="0" borderId="0"/>
    <xf numFmtId="0" fontId="0" fillId="0" borderId="0"/>
    <xf numFmtId="0" fontId="0" fillId="0" borderId="0"/>
  </cellStyleXfs>
  <cellXfs count="25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bottom"/>
    </xf>
    <xf numFmtId="0" fontId="4" fillId="3" borderId="0" applyAlignment="1" pivotButton="0" quotePrefix="0" xfId="0">
      <alignment horizontal="center" vertical="bottom"/>
    </xf>
    <xf numFmtId="0" fontId="4" fillId="4" borderId="0" applyAlignment="1" pivotButton="0" quotePrefix="0" xfId="0">
      <alignment horizontal="center" vertical="bottom"/>
    </xf>
    <xf numFmtId="0" fontId="0" fillId="5" borderId="0" applyAlignment="1" pivotButton="0" quotePrefix="0" xfId="0">
      <alignment horizontal="general" vertical="bottom"/>
    </xf>
    <xf numFmtId="0" fontId="4" fillId="5" borderId="0" applyAlignment="1" pivotButton="0" quotePrefix="0" xfId="0">
      <alignment horizontal="general" vertical="bottom"/>
    </xf>
    <xf numFmtId="0" fontId="5" fillId="4" borderId="2" applyAlignment="1" pivotButton="0" quotePrefix="0" xfId="0">
      <alignment horizontal="right" vertical="bottom"/>
    </xf>
    <xf numFmtId="0" fontId="0" fillId="6" borderId="3" applyAlignment="1" pivotButton="0" quotePrefix="0" xfId="0">
      <alignment horizontal="general" vertical="bottom"/>
    </xf>
    <xf numFmtId="0" fontId="0" fillId="4" borderId="0" applyAlignment="1" pivotButton="0" quotePrefix="0" xfId="0">
      <alignment horizontal="general" vertical="bottom"/>
    </xf>
    <xf numFmtId="0" fontId="5" fillId="4" borderId="0" applyAlignment="1" pivotButton="0" quotePrefix="0" xfId="0">
      <alignment horizontal="right" vertical="bottom"/>
    </xf>
    <xf numFmtId="0" fontId="0" fillId="4" borderId="4" applyAlignment="1" pivotButton="0" quotePrefix="0" xfId="0">
      <alignment horizontal="general" vertical="bottom"/>
    </xf>
    <xf numFmtId="0" fontId="0" fillId="0" borderId="1" applyAlignment="1" pivotButton="0" quotePrefix="0" xfId="0">
      <alignment horizontal="general" vertical="bottom"/>
    </xf>
    <xf numFmtId="0" fontId="0" fillId="0" borderId="5" applyAlignment="1" pivotButton="0" quotePrefix="0" xfId="0">
      <alignment horizontal="general" vertical="bottom"/>
    </xf>
    <xf numFmtId="164" fontId="0" fillId="0" borderId="5" applyAlignment="1" pivotButton="0" quotePrefix="0" xfId="0">
      <alignment horizontal="general" vertical="bottom"/>
    </xf>
    <xf numFmtId="0" fontId="0" fillId="7" borderId="1" applyAlignment="1" pivotButton="0" quotePrefix="0" xfId="0">
      <alignment horizontal="general" vertical="bottom"/>
    </xf>
    <xf numFmtId="0" fontId="6" fillId="5" borderId="0" applyAlignment="1" pivotButton="0" quotePrefix="0" xfId="0">
      <alignment horizontal="general" vertical="bottom"/>
    </xf>
    <xf numFmtId="0" fontId="6" fillId="4" borderId="0" applyAlignment="1" pivotButton="0" quotePrefix="0" xfId="0">
      <alignment horizontal="right" vertical="bottom"/>
    </xf>
    <xf numFmtId="0" fontId="7" fillId="8" borderId="0" applyAlignment="1" pivotButton="0" quotePrefix="0" xfId="0">
      <alignment horizontal="center" vertical="bottom"/>
    </xf>
    <xf numFmtId="0" fontId="4" fillId="9" borderId="0" applyAlignment="1" pivotButton="0" quotePrefix="0" xfId="0">
      <alignment horizontal="right" vertical="bottom"/>
    </xf>
    <xf numFmtId="164" fontId="0" fillId="0" borderId="1" applyAlignment="1" pivotButton="0" quotePrefix="0" xfId="0">
      <alignment horizontal="general" vertical="bottom"/>
    </xf>
    <xf numFmtId="0" fontId="7" fillId="10" borderId="0" applyAlignment="1" pivotButton="0" quotePrefix="0" xfId="0">
      <alignment horizontal="center" vertical="bottom"/>
    </xf>
    <xf numFmtId="0" fontId="4" fillId="10" borderId="0" applyAlignment="1" pivotButton="0" quotePrefix="0" xfId="0">
      <alignment horizontal="right" vertical="bottom"/>
    </xf>
    <xf numFmtId="0" fontId="0" fillId="10" borderId="0" applyAlignment="1" pivotButton="0" quotePrefix="0" xfId="0">
      <alignment horizontal="center" vertical="bottom"/>
    </xf>
    <xf numFmtId="0" fontId="0" fillId="10" borderId="0" applyAlignment="1" pivotButton="0" quotePrefix="0" xfId="0">
      <alignment horizontal="general" vertical="bottom"/>
    </xf>
    <xf numFmtId="0" fontId="0" fillId="0" borderId="6" applyAlignment="1" pivotButton="0" quotePrefix="0" xfId="0">
      <alignment horizontal="general" vertical="bottom"/>
    </xf>
    <xf numFmtId="0" fontId="0" fillId="11" borderId="0" applyAlignment="1" pivotButton="0" quotePrefix="0" xfId="0">
      <alignment horizontal="general" vertical="bottom"/>
    </xf>
    <xf numFmtId="0" fontId="5" fillId="11" borderId="0" applyAlignment="1" pivotButton="0" quotePrefix="0" xfId="0">
      <alignment horizontal="right" vertical="bottom"/>
    </xf>
    <xf numFmtId="0" fontId="9" fillId="0" borderId="1" applyAlignment="1" pivotButton="0" quotePrefix="0" xfId="0">
      <alignment horizontal="general" vertical="bottom"/>
    </xf>
    <xf numFmtId="0" fontId="0" fillId="10" borderId="0" applyAlignment="1" pivotButton="0" quotePrefix="0" xfId="0">
      <alignment horizontal="right" vertical="bottom"/>
    </xf>
    <xf numFmtId="0" fontId="0" fillId="12" borderId="1" applyAlignment="1" pivotButton="0" quotePrefix="0" xfId="0">
      <alignment horizontal="general" vertical="bottom"/>
    </xf>
    <xf numFmtId="0" fontId="4" fillId="6" borderId="0" applyAlignment="1" pivotButton="0" quotePrefix="0" xfId="0">
      <alignment horizontal="right" vertical="bottom"/>
    </xf>
    <xf numFmtId="0" fontId="5" fillId="10" borderId="0" applyAlignment="1" pivotButton="0" quotePrefix="0" xfId="0">
      <alignment horizontal="right" vertical="bottom"/>
    </xf>
    <xf numFmtId="0" fontId="10" fillId="0" borderId="1" applyAlignment="1" pivotButton="0" quotePrefix="0" xfId="0">
      <alignment horizontal="general" vertical="bottom"/>
    </xf>
    <xf numFmtId="0" fontId="0" fillId="5" borderId="0" applyAlignment="1" pivotButton="0" quotePrefix="0" xfId="0">
      <alignment horizontal="right" vertical="bottom"/>
    </xf>
    <xf numFmtId="0" fontId="10" fillId="0" borderId="6" applyAlignment="1" pivotButton="0" quotePrefix="0" xfId="0">
      <alignment horizontal="general" vertical="bottom"/>
    </xf>
    <xf numFmtId="0" fontId="8" fillId="6" borderId="0" applyAlignment="1" pivotButton="0" quotePrefix="0" xfId="0">
      <alignment horizontal="right" vertical="bottom"/>
    </xf>
    <xf numFmtId="0" fontId="0" fillId="0" borderId="1" applyAlignment="1" pivotButton="0" quotePrefix="0" xfId="0">
      <alignment horizontal="center" vertical="bottom"/>
    </xf>
    <xf numFmtId="0" fontId="4" fillId="13" borderId="0" applyAlignment="1" pivotButton="0" quotePrefix="0" xfId="0">
      <alignment horizontal="center" vertical="bottom"/>
    </xf>
    <xf numFmtId="0" fontId="10" fillId="14" borderId="0" applyAlignment="1" pivotButton="0" quotePrefix="0" xfId="0">
      <alignment horizontal="general" vertical="bottom"/>
    </xf>
    <xf numFmtId="0" fontId="4" fillId="14" borderId="0" applyAlignment="1" pivotButton="0" quotePrefix="0" xfId="0">
      <alignment horizontal="general" vertical="bottom"/>
    </xf>
    <xf numFmtId="0" fontId="0" fillId="14" borderId="0" applyAlignment="1" pivotButton="0" quotePrefix="0" xfId="0">
      <alignment horizontal="general" vertical="bottom"/>
    </xf>
    <xf numFmtId="0" fontId="4" fillId="10" borderId="0" applyAlignment="1" pivotButton="0" quotePrefix="0" xfId="0">
      <alignment horizontal="general" vertical="bottom"/>
    </xf>
    <xf numFmtId="0" fontId="0" fillId="11" borderId="1" applyAlignment="1" pivotButton="0" quotePrefix="0" xfId="0">
      <alignment horizontal="general" vertical="bottom"/>
    </xf>
    <xf numFmtId="0" fontId="0" fillId="15" borderId="1" applyAlignment="1" pivotButton="0" quotePrefix="0" xfId="0">
      <alignment horizontal="general" vertical="bottom"/>
    </xf>
    <xf numFmtId="0" fontId="0" fillId="7" borderId="1" applyAlignment="1" pivotButton="0" quotePrefix="0" xfId="0">
      <alignment horizontal="general" vertical="bottom"/>
    </xf>
    <xf numFmtId="0" fontId="4" fillId="16" borderId="0" applyAlignment="1" pivotButton="0" quotePrefix="0" xfId="0">
      <alignment horizontal="center" vertical="bottom"/>
    </xf>
    <xf numFmtId="0" fontId="4" fillId="17" borderId="0" applyAlignment="1" pivotButton="0" quotePrefix="0" xfId="0">
      <alignment horizontal="general" vertical="bottom"/>
    </xf>
    <xf numFmtId="0" fontId="0" fillId="17" borderId="0" applyAlignment="1" pivotButton="0" quotePrefix="0" xfId="0">
      <alignment horizontal="general" vertical="bottom"/>
    </xf>
    <xf numFmtId="0" fontId="4" fillId="18" borderId="0" applyAlignment="1" pivotButton="0" quotePrefix="0" xfId="0">
      <alignment horizontal="right" vertical="bottom"/>
    </xf>
    <xf numFmtId="0" fontId="4" fillId="0" borderId="1" applyAlignment="1" pivotButton="0" quotePrefix="0" xfId="0">
      <alignment horizontal="general" vertical="bottom"/>
    </xf>
    <xf numFmtId="0" fontId="11" fillId="12" borderId="7" applyAlignment="1" pivotButton="0" quotePrefix="0" xfId="0">
      <alignment horizontal="general" vertical="bottom"/>
    </xf>
    <xf numFmtId="0" fontId="0" fillId="18" borderId="0" applyAlignment="1" pivotButton="0" quotePrefix="0" xfId="0">
      <alignment horizontal="general" vertical="bottom"/>
    </xf>
    <xf numFmtId="0" fontId="0" fillId="18" borderId="0" applyAlignment="1" pivotButton="0" quotePrefix="0" xfId="0">
      <alignment horizontal="right" vertical="bottom"/>
    </xf>
    <xf numFmtId="0" fontId="4" fillId="17" borderId="0" applyAlignment="1" pivotButton="0" quotePrefix="0" xfId="0">
      <alignment horizontal="right" vertical="bottom"/>
    </xf>
    <xf numFmtId="0" fontId="0" fillId="17" borderId="0" applyAlignment="1" pivotButton="0" quotePrefix="0" xfId="0">
      <alignment horizontal="right" vertical="bottom"/>
    </xf>
    <xf numFmtId="0" fontId="9" fillId="19" borderId="1" applyAlignment="1" pivotButton="0" quotePrefix="0" xfId="0">
      <alignment horizontal="general" vertical="bottom"/>
    </xf>
    <xf numFmtId="0" fontId="4" fillId="17" borderId="0" applyAlignment="1" pivotButton="0" quotePrefix="0" xfId="0">
      <alignment horizontal="center" vertical="bottom"/>
    </xf>
    <xf numFmtId="0" fontId="9" fillId="19" borderId="5" applyAlignment="1" pivotButton="0" quotePrefix="0" xfId="0">
      <alignment horizontal="general" vertical="bottom"/>
    </xf>
    <xf numFmtId="0" fontId="0" fillId="0" borderId="1" applyAlignment="1" pivotButton="0" quotePrefix="0" xfId="0">
      <alignment horizontal="general" vertical="bottom"/>
    </xf>
    <xf numFmtId="0" fontId="4" fillId="18" borderId="0" applyAlignment="1" pivotButton="0" quotePrefix="0" xfId="0">
      <alignment horizontal="general" vertical="bottom"/>
    </xf>
    <xf numFmtId="0" fontId="4" fillId="6" borderId="0" applyAlignment="1" pivotButton="0" quotePrefix="0" xfId="0">
      <alignment horizontal="general" vertical="bottom"/>
    </xf>
    <xf numFmtId="0" fontId="0" fillId="6" borderId="0" applyAlignment="1" pivotButton="0" quotePrefix="0" xfId="0">
      <alignment horizontal="general" vertical="bottom"/>
    </xf>
    <xf numFmtId="0" fontId="16" fillId="20" borderId="1" applyAlignment="1" pivotButton="0" quotePrefix="0" xfId="0">
      <alignment horizontal="center" vertical="bottom"/>
    </xf>
    <xf numFmtId="0" fontId="17" fillId="0" borderId="1" applyAlignment="1" pivotButton="0" quotePrefix="0" xfId="0">
      <alignment horizontal="center" vertical="bottom"/>
    </xf>
    <xf numFmtId="0" fontId="17" fillId="21" borderId="1" applyAlignment="1" pivotButton="0" quotePrefix="0" xfId="0">
      <alignment horizontal="center" vertical="bottom"/>
    </xf>
    <xf numFmtId="0" fontId="18" fillId="0" borderId="0" applyAlignment="1" pivotButton="0" quotePrefix="0" xfId="0">
      <alignment horizontal="general" vertical="center"/>
    </xf>
    <xf numFmtId="0" fontId="19" fillId="0" borderId="0" applyAlignment="1" pivotButton="0" quotePrefix="0" xfId="0">
      <alignment horizontal="center" vertical="bottom"/>
    </xf>
    <xf numFmtId="0" fontId="19" fillId="0" borderId="0" applyAlignment="1" pivotButton="0" quotePrefix="0" xfId="0">
      <alignment horizontal="general" vertical="bottom"/>
    </xf>
    <xf numFmtId="0" fontId="20" fillId="0" borderId="1" applyAlignment="1" pivotButton="0" quotePrefix="0" xfId="0">
      <alignment horizontal="center" vertical="center" wrapText="1"/>
    </xf>
    <xf numFmtId="0" fontId="21" fillId="0" borderId="1" applyAlignment="1" pivotButton="0" quotePrefix="0" xfId="0">
      <alignment horizontal="center" vertical="center" wrapText="1"/>
    </xf>
    <xf numFmtId="0" fontId="21" fillId="20" borderId="1" applyAlignment="1" pivotButton="0" quotePrefix="0" xfId="0">
      <alignment horizontal="center" vertical="center" wrapText="1"/>
    </xf>
    <xf numFmtId="0" fontId="20" fillId="2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 wrapText="1"/>
    </xf>
    <xf numFmtId="0" fontId="20" fillId="21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vertical="center" wrapText="1"/>
    </xf>
    <xf numFmtId="0" fontId="20" fillId="0" borderId="0" applyAlignment="1" pivotButton="0" quotePrefix="0" xfId="0">
      <alignment horizontal="center" vertical="bottom"/>
    </xf>
    <xf numFmtId="0" fontId="25" fillId="0" borderId="1" applyAlignment="1" applyProtection="1" pivotButton="0" quotePrefix="0" xfId="0">
      <alignment horizontal="center" vertical="bottom"/>
      <protection locked="0" hidden="0"/>
    </xf>
    <xf numFmtId="0" fontId="25" fillId="20" borderId="1" applyAlignment="1" applyProtection="1" pivotButton="0" quotePrefix="0" xfId="0">
      <alignment horizontal="center" vertical="bottom"/>
      <protection locked="0" hidden="0"/>
    </xf>
    <xf numFmtId="0" fontId="25" fillId="21" borderId="1" applyAlignment="1" applyProtection="1" pivotButton="0" quotePrefix="0" xfId="0">
      <alignment horizontal="center" vertical="bottom"/>
      <protection locked="0" hidden="0"/>
    </xf>
    <xf numFmtId="0" fontId="25" fillId="0" borderId="1" applyAlignment="1" applyProtection="1" pivotButton="0" quotePrefix="0" xfId="0">
      <alignment horizontal="left" vertical="bottom"/>
      <protection locked="0" hidden="0"/>
    </xf>
    <xf numFmtId="0" fontId="26" fillId="0" borderId="0" applyAlignment="1" pivotButton="0" quotePrefix="0" xfId="0">
      <alignment horizontal="general" vertical="bottom"/>
    </xf>
    <xf numFmtId="0" fontId="20" fillId="0" borderId="0" applyAlignment="1" pivotButton="0" quotePrefix="0" xfId="0">
      <alignment horizontal="center" vertical="bottom"/>
    </xf>
    <xf numFmtId="0" fontId="25" fillId="0" borderId="1" applyAlignment="1" pivotButton="0" quotePrefix="0" xfId="0">
      <alignment horizontal="general" vertical="bottom"/>
    </xf>
    <xf numFmtId="165" fontId="19" fillId="0" borderId="1" applyAlignment="1" applyProtection="1" pivotButton="0" quotePrefix="0" xfId="0">
      <alignment horizontal="center" vertical="bottom"/>
      <protection locked="0" hidden="0"/>
    </xf>
    <xf numFmtId="0" fontId="25" fillId="22" borderId="1" applyAlignment="1" pivotButton="0" quotePrefix="0" xfId="0">
      <alignment horizontal="center" vertical="bottom"/>
    </xf>
    <xf numFmtId="165" fontId="19" fillId="22" borderId="1" applyAlignment="1" pivotButton="0" quotePrefix="0" xfId="0">
      <alignment horizontal="center" vertical="bottom"/>
    </xf>
    <xf numFmtId="0" fontId="25" fillId="0" borderId="0" applyAlignment="1" pivotButton="0" quotePrefix="0" xfId="0">
      <alignment horizontal="center" vertical="bottom"/>
    </xf>
    <xf numFmtId="165" fontId="19" fillId="0" borderId="0" applyAlignment="1" pivotButton="0" quotePrefix="0" xfId="0">
      <alignment horizontal="center" vertical="bottom"/>
    </xf>
    <xf numFmtId="0" fontId="19" fillId="0" borderId="1" applyAlignment="1" applyProtection="1" pivotButton="0" quotePrefix="0" xfId="0">
      <alignment horizontal="center" vertical="bottom"/>
      <protection locked="0" hidden="0"/>
    </xf>
    <xf numFmtId="0" fontId="25" fillId="0" borderId="0" applyAlignment="1" pivotButton="0" quotePrefix="0" xfId="0">
      <alignment horizontal="general" vertical="bottom"/>
    </xf>
    <xf numFmtId="0" fontId="20" fillId="0" borderId="0" applyAlignment="1" pivotButton="0" quotePrefix="0" xfId="0">
      <alignment horizontal="general" vertical="bottom"/>
    </xf>
    <xf numFmtId="0" fontId="23" fillId="0" borderId="0" applyAlignment="1" pivotButton="0" quotePrefix="0" xfId="0">
      <alignment horizontal="left" vertical="bottom"/>
    </xf>
    <xf numFmtId="0" fontId="27" fillId="0" borderId="0" applyAlignment="1" pivotButton="0" quotePrefix="0" xfId="0">
      <alignment horizontal="general" vertical="bottom"/>
    </xf>
    <xf numFmtId="0" fontId="28" fillId="0" borderId="0" applyAlignment="1" pivotButton="0" quotePrefix="0" xfId="2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16" fillId="11" borderId="1" applyAlignment="1" pivotButton="0" quotePrefix="0" xfId="0">
      <alignment horizontal="center" vertical="bottom"/>
    </xf>
    <xf numFmtId="0" fontId="17" fillId="23" borderId="1" applyAlignment="1" pivotButton="0" quotePrefix="0" xfId="0">
      <alignment horizontal="center" vertical="bottom"/>
    </xf>
    <xf numFmtId="0" fontId="21" fillId="0" borderId="0" applyAlignment="1" pivotButton="0" quotePrefix="0" xfId="0">
      <alignment horizontal="general" vertical="bottom"/>
    </xf>
    <xf numFmtId="0" fontId="27" fillId="0" borderId="0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0" fillId="4" borderId="1" applyAlignment="1" pivotButton="0" quotePrefix="0" xfId="0">
      <alignment horizontal="center" vertical="center" wrapText="1"/>
    </xf>
    <xf numFmtId="0" fontId="20" fillId="23" borderId="1" applyAlignment="1" pivotButton="0" quotePrefix="0" xfId="0">
      <alignment horizontal="center" vertical="center" wrapText="1"/>
    </xf>
    <xf numFmtId="0" fontId="20" fillId="23" borderId="5" applyAlignment="1" pivotButton="0" quotePrefix="0" xfId="0">
      <alignment horizontal="center" vertical="center" wrapText="1"/>
    </xf>
    <xf numFmtId="0" fontId="21" fillId="0" borderId="1" applyAlignment="1" pivotButton="0" quotePrefix="0" xfId="0">
      <alignment horizontal="general" vertical="center" wrapText="1"/>
    </xf>
    <xf numFmtId="0" fontId="11" fillId="0" borderId="1" applyAlignment="1" applyProtection="1" pivotButton="0" quotePrefix="0" xfId="0">
      <alignment horizontal="general" vertical="bottom"/>
      <protection locked="0" hidden="0"/>
    </xf>
    <xf numFmtId="0" fontId="25" fillId="11" borderId="1" applyAlignment="1" applyProtection="1" pivotButton="0" quotePrefix="0" xfId="0">
      <alignment horizontal="center" vertical="bottom"/>
      <protection locked="0" hidden="0"/>
    </xf>
    <xf numFmtId="0" fontId="19" fillId="21" borderId="1" applyAlignment="1" applyProtection="1" pivotButton="0" quotePrefix="0" xfId="0">
      <alignment horizontal="center" vertical="bottom"/>
      <protection locked="0" hidden="0"/>
    </xf>
    <xf numFmtId="0" fontId="19" fillId="21" borderId="1" applyAlignment="1" applyProtection="1" pivotButton="0" quotePrefix="0" xfId="0">
      <alignment horizontal="general" vertical="bottom"/>
      <protection locked="0" hidden="0"/>
    </xf>
    <xf numFmtId="0" fontId="19" fillId="4" borderId="1" applyAlignment="1" applyProtection="1" pivotButton="0" quotePrefix="0" xfId="0">
      <alignment horizontal="center" vertical="bottom"/>
      <protection locked="0" hidden="0"/>
    </xf>
    <xf numFmtId="0" fontId="19" fillId="23" borderId="1" applyAlignment="1" pivotButton="0" quotePrefix="0" xfId="0">
      <alignment horizontal="center" vertical="bottom"/>
    </xf>
    <xf numFmtId="0" fontId="19" fillId="23" borderId="5" applyAlignment="1" pivotButton="0" quotePrefix="0" xfId="0">
      <alignment horizontal="center" vertical="bottom"/>
    </xf>
    <xf numFmtId="0" fontId="19" fillId="0" borderId="1" applyAlignment="1" applyProtection="1" pivotButton="0" quotePrefix="0" xfId="0">
      <alignment horizontal="general" vertical="bottom"/>
      <protection locked="0" hidden="0"/>
    </xf>
    <xf numFmtId="0" fontId="25" fillId="21" borderId="1" applyAlignment="1" applyProtection="1" pivotButton="0" quotePrefix="0" xfId="0">
      <alignment horizontal="general" vertical="bottom"/>
      <protection locked="0" hidden="0"/>
    </xf>
    <xf numFmtId="0" fontId="19" fillId="0" borderId="1" applyAlignment="1" pivotButton="0" quotePrefix="0" xfId="0">
      <alignment horizontal="general" vertical="bottom"/>
    </xf>
    <xf numFmtId="0" fontId="27" fillId="0" borderId="0" applyAlignment="1" pivotButton="0" quotePrefix="0" xfId="0">
      <alignment horizontal="left" vertical="bottom"/>
    </xf>
    <xf numFmtId="0" fontId="0" fillId="0" borderId="0" applyAlignment="1" pivotButton="0" quotePrefix="0" xfId="0">
      <alignment horizontal="right" vertical="bottom"/>
    </xf>
    <xf numFmtId="0" fontId="4" fillId="6" borderId="0" applyAlignment="1" pivotButton="0" quotePrefix="0" xfId="0">
      <alignment horizontal="general" vertical="bottom"/>
    </xf>
    <xf numFmtId="0" fontId="4" fillId="24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9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center"/>
    </xf>
    <xf numFmtId="0" fontId="29" fillId="24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left" vertical="center"/>
    </xf>
    <xf numFmtId="0" fontId="0" fillId="25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general" vertical="center"/>
    </xf>
    <xf numFmtId="0" fontId="0" fillId="15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left" vertical="center" wrapText="1"/>
    </xf>
    <xf numFmtId="0" fontId="0" fillId="24" borderId="0" applyAlignment="1" pivotButton="0" quotePrefix="0" xfId="0">
      <alignment horizontal="general" vertical="center"/>
    </xf>
    <xf numFmtId="0" fontId="0" fillId="0" borderId="0" applyAlignment="1" pivotButton="0" quotePrefix="0" xfId="0">
      <alignment horizontal="general" vertical="center"/>
    </xf>
    <xf numFmtId="0" fontId="0" fillId="17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4" fillId="2" borderId="1" applyAlignment="1" pivotButton="0" quotePrefix="0" xfId="0">
      <alignment horizontal="center" vertical="bottom"/>
    </xf>
    <xf numFmtId="0" fontId="0" fillId="0" borderId="10" pivotButton="0" quotePrefix="0" xfId="0"/>
    <xf numFmtId="0" fontId="0" fillId="0" borderId="7" pivotButton="0" quotePrefix="0" xfId="0"/>
    <xf numFmtId="0" fontId="4" fillId="3" borderId="0" applyAlignment="1" pivotButton="0" quotePrefix="0" xfId="0">
      <alignment horizontal="center" vertical="bottom"/>
    </xf>
    <xf numFmtId="0" fontId="4" fillId="4" borderId="0" applyAlignment="1" pivotButton="0" quotePrefix="0" xfId="0">
      <alignment horizontal="center" vertical="bottom"/>
    </xf>
    <xf numFmtId="0" fontId="0" fillId="5" borderId="0" applyAlignment="1" pivotButton="0" quotePrefix="0" xfId="0">
      <alignment horizontal="general" vertical="bottom"/>
    </xf>
    <xf numFmtId="0" fontId="4" fillId="5" borderId="0" applyAlignment="1" pivotButton="0" quotePrefix="0" xfId="0">
      <alignment horizontal="general" vertical="bottom"/>
    </xf>
    <xf numFmtId="0" fontId="5" fillId="4" borderId="2" applyAlignment="1" pivotButton="0" quotePrefix="0" xfId="0">
      <alignment horizontal="right" vertical="bottom"/>
    </xf>
    <xf numFmtId="0" fontId="0" fillId="6" borderId="3" applyAlignment="1" pivotButton="0" quotePrefix="0" xfId="0">
      <alignment horizontal="general" vertical="bottom"/>
    </xf>
    <xf numFmtId="0" fontId="0" fillId="4" borderId="0" applyAlignment="1" pivotButton="0" quotePrefix="0" xfId="0">
      <alignment horizontal="general" vertical="bottom"/>
    </xf>
    <xf numFmtId="0" fontId="5" fillId="4" borderId="0" applyAlignment="1" pivotButton="0" quotePrefix="0" xfId="0">
      <alignment horizontal="right" vertical="bottom"/>
    </xf>
    <xf numFmtId="0" fontId="0" fillId="4" borderId="4" applyAlignment="1" pivotButton="0" quotePrefix="0" xfId="0">
      <alignment horizontal="general" vertical="bottom"/>
    </xf>
    <xf numFmtId="0" fontId="0" fillId="0" borderId="1" applyAlignment="1" pivotButton="0" quotePrefix="0" xfId="0">
      <alignment horizontal="general" vertical="bottom"/>
    </xf>
    <xf numFmtId="0" fontId="0" fillId="0" borderId="5" applyAlignment="1" pivotButton="0" quotePrefix="0" xfId="0">
      <alignment horizontal="general" vertical="bottom"/>
    </xf>
    <xf numFmtId="164" fontId="0" fillId="0" borderId="5" applyAlignment="1" pivotButton="0" quotePrefix="0" xfId="0">
      <alignment horizontal="general" vertical="bottom"/>
    </xf>
    <xf numFmtId="0" fontId="0" fillId="7" borderId="1" applyAlignment="1" pivotButton="0" quotePrefix="0" xfId="0">
      <alignment horizontal="general" vertical="bottom"/>
    </xf>
    <xf numFmtId="0" fontId="6" fillId="5" borderId="0" applyAlignment="1" pivotButton="0" quotePrefix="0" xfId="0">
      <alignment horizontal="general" vertical="bottom"/>
    </xf>
    <xf numFmtId="0" fontId="6" fillId="4" borderId="0" applyAlignment="1" pivotButton="0" quotePrefix="0" xfId="0">
      <alignment horizontal="right" vertical="bottom"/>
    </xf>
    <xf numFmtId="0" fontId="7" fillId="8" borderId="0" applyAlignment="1" pivotButton="0" quotePrefix="0" xfId="0">
      <alignment horizontal="center" vertical="bottom"/>
    </xf>
    <xf numFmtId="0" fontId="4" fillId="9" borderId="0" applyAlignment="1" pivotButton="0" quotePrefix="0" xfId="0">
      <alignment horizontal="right" vertical="bottom"/>
    </xf>
    <xf numFmtId="164" fontId="0" fillId="0" borderId="1" applyAlignment="1" pivotButton="0" quotePrefix="0" xfId="0">
      <alignment horizontal="general" vertical="bottom"/>
    </xf>
    <xf numFmtId="0" fontId="7" fillId="10" borderId="0" applyAlignment="1" pivotButton="0" quotePrefix="0" xfId="0">
      <alignment horizontal="center" vertical="bottom"/>
    </xf>
    <xf numFmtId="0" fontId="4" fillId="10" borderId="0" applyAlignment="1" pivotButton="0" quotePrefix="0" xfId="0">
      <alignment horizontal="right" vertical="bottom"/>
    </xf>
    <xf numFmtId="0" fontId="0" fillId="10" borderId="0" applyAlignment="1" pivotButton="0" quotePrefix="0" xfId="0">
      <alignment horizontal="center" vertical="bottom"/>
    </xf>
    <xf numFmtId="0" fontId="0" fillId="10" borderId="0" applyAlignment="1" pivotButton="0" quotePrefix="0" xfId="0">
      <alignment horizontal="general" vertical="bottom"/>
    </xf>
    <xf numFmtId="0" fontId="0" fillId="0" borderId="6" applyAlignment="1" pivotButton="0" quotePrefix="0" xfId="0">
      <alignment horizontal="general" vertical="bottom"/>
    </xf>
    <xf numFmtId="0" fontId="0" fillId="11" borderId="0" applyAlignment="1" pivotButton="0" quotePrefix="0" xfId="0">
      <alignment horizontal="general" vertical="bottom"/>
    </xf>
    <xf numFmtId="0" fontId="5" fillId="11" borderId="0" applyAlignment="1" pivotButton="0" quotePrefix="0" xfId="0">
      <alignment horizontal="right" vertical="bottom"/>
    </xf>
    <xf numFmtId="0" fontId="9" fillId="0" borderId="1" applyAlignment="1" pivotButton="0" quotePrefix="0" xfId="0">
      <alignment horizontal="general" vertical="bottom"/>
    </xf>
    <xf numFmtId="0" fontId="0" fillId="10" borderId="0" applyAlignment="1" pivotButton="0" quotePrefix="0" xfId="0">
      <alignment horizontal="right" vertical="bottom"/>
    </xf>
    <xf numFmtId="0" fontId="0" fillId="12" borderId="1" applyAlignment="1" pivotButton="0" quotePrefix="0" xfId="0">
      <alignment horizontal="general" vertical="bottom"/>
    </xf>
    <xf numFmtId="0" fontId="4" fillId="6" borderId="0" applyAlignment="1" pivotButton="0" quotePrefix="0" xfId="0">
      <alignment horizontal="right" vertical="bottom"/>
    </xf>
    <xf numFmtId="0" fontId="5" fillId="10" borderId="0" applyAlignment="1" pivotButton="0" quotePrefix="0" xfId="0">
      <alignment horizontal="right" vertical="bottom"/>
    </xf>
    <xf numFmtId="0" fontId="10" fillId="0" borderId="1" applyAlignment="1" pivotButton="0" quotePrefix="0" xfId="0">
      <alignment horizontal="general" vertical="bottom"/>
    </xf>
    <xf numFmtId="0" fontId="0" fillId="5" borderId="0" applyAlignment="1" pivotButton="0" quotePrefix="0" xfId="0">
      <alignment horizontal="right" vertical="bottom"/>
    </xf>
    <xf numFmtId="0" fontId="10" fillId="0" borderId="6" applyAlignment="1" pivotButton="0" quotePrefix="0" xfId="0">
      <alignment horizontal="general" vertical="bottom"/>
    </xf>
    <xf numFmtId="0" fontId="8" fillId="6" borderId="0" applyAlignment="1" pivotButton="0" quotePrefix="0" xfId="0">
      <alignment horizontal="right" vertical="bottom"/>
    </xf>
    <xf numFmtId="0" fontId="0" fillId="0" borderId="1" applyAlignment="1" pivotButton="0" quotePrefix="0" xfId="0">
      <alignment horizontal="center" vertical="bottom"/>
    </xf>
    <xf numFmtId="0" fontId="4" fillId="13" borderId="0" applyAlignment="1" pivotButton="0" quotePrefix="0" xfId="0">
      <alignment horizontal="center" vertical="bottom"/>
    </xf>
    <xf numFmtId="0" fontId="10" fillId="14" borderId="0" applyAlignment="1" pivotButton="0" quotePrefix="0" xfId="0">
      <alignment horizontal="general" vertical="bottom"/>
    </xf>
    <xf numFmtId="0" fontId="4" fillId="14" borderId="0" applyAlignment="1" pivotButton="0" quotePrefix="0" xfId="0">
      <alignment horizontal="general" vertical="bottom"/>
    </xf>
    <xf numFmtId="0" fontId="0" fillId="14" borderId="0" applyAlignment="1" pivotButton="0" quotePrefix="0" xfId="0">
      <alignment horizontal="general" vertical="bottom"/>
    </xf>
    <xf numFmtId="0" fontId="4" fillId="10" borderId="0" applyAlignment="1" pivotButton="0" quotePrefix="0" xfId="0">
      <alignment horizontal="general" vertical="bottom"/>
    </xf>
    <xf numFmtId="0" fontId="0" fillId="11" borderId="1" applyAlignment="1" pivotButton="0" quotePrefix="0" xfId="0">
      <alignment horizontal="general" vertical="bottom"/>
    </xf>
    <xf numFmtId="0" fontId="0" fillId="15" borderId="1" applyAlignment="1" pivotButton="0" quotePrefix="0" xfId="0">
      <alignment horizontal="general" vertical="bottom"/>
    </xf>
    <xf numFmtId="0" fontId="4" fillId="16" borderId="0" applyAlignment="1" pivotButton="0" quotePrefix="0" xfId="0">
      <alignment horizontal="center" vertical="bottom"/>
    </xf>
    <xf numFmtId="0" fontId="4" fillId="17" borderId="0" applyAlignment="1" pivotButton="0" quotePrefix="0" xfId="0">
      <alignment horizontal="general" vertical="bottom"/>
    </xf>
    <xf numFmtId="0" fontId="0" fillId="17" borderId="0" applyAlignment="1" pivotButton="0" quotePrefix="0" xfId="0">
      <alignment horizontal="general" vertical="bottom"/>
    </xf>
    <xf numFmtId="0" fontId="4" fillId="18" borderId="0" applyAlignment="1" pivotButton="0" quotePrefix="0" xfId="0">
      <alignment horizontal="right" vertical="bottom"/>
    </xf>
    <xf numFmtId="0" fontId="4" fillId="0" borderId="1" applyAlignment="1" pivotButton="0" quotePrefix="0" xfId="0">
      <alignment horizontal="general" vertical="bottom"/>
    </xf>
    <xf numFmtId="0" fontId="11" fillId="12" borderId="7" applyAlignment="1" pivotButton="0" quotePrefix="0" xfId="0">
      <alignment horizontal="general" vertical="bottom"/>
    </xf>
    <xf numFmtId="0" fontId="0" fillId="18" borderId="0" applyAlignment="1" pivotButton="0" quotePrefix="0" xfId="0">
      <alignment horizontal="general" vertical="bottom"/>
    </xf>
    <xf numFmtId="0" fontId="0" fillId="18" borderId="0" applyAlignment="1" pivotButton="0" quotePrefix="0" xfId="0">
      <alignment horizontal="right" vertical="bottom"/>
    </xf>
    <xf numFmtId="0" fontId="4" fillId="17" borderId="0" applyAlignment="1" pivotButton="0" quotePrefix="0" xfId="0">
      <alignment horizontal="right" vertical="bottom"/>
    </xf>
    <xf numFmtId="0" fontId="0" fillId="17" borderId="0" applyAlignment="1" pivotButton="0" quotePrefix="0" xfId="0">
      <alignment horizontal="right" vertical="bottom"/>
    </xf>
    <xf numFmtId="0" fontId="9" fillId="19" borderId="1" applyAlignment="1" pivotButton="0" quotePrefix="0" xfId="0">
      <alignment horizontal="general" vertical="bottom"/>
    </xf>
    <xf numFmtId="0" fontId="4" fillId="17" borderId="0" applyAlignment="1" pivotButton="0" quotePrefix="0" xfId="0">
      <alignment horizontal="center" vertical="bottom"/>
    </xf>
    <xf numFmtId="0" fontId="9" fillId="19" borderId="5" applyAlignment="1" pivotButton="0" quotePrefix="0" xfId="0">
      <alignment horizontal="general" vertical="bottom"/>
    </xf>
    <xf numFmtId="0" fontId="4" fillId="18" borderId="0" applyAlignment="1" pivotButton="0" quotePrefix="0" xfId="0">
      <alignment horizontal="general" vertical="bottom"/>
    </xf>
    <xf numFmtId="0" fontId="4" fillId="6" borderId="0" applyAlignment="1" pivotButton="0" quotePrefix="0" xfId="0">
      <alignment horizontal="general" vertical="bottom"/>
    </xf>
    <xf numFmtId="0" fontId="0" fillId="6" borderId="0" applyAlignment="1" pivotButton="0" quotePrefix="0" xfId="0">
      <alignment horizontal="general" vertical="bottom"/>
    </xf>
    <xf numFmtId="0" fontId="16" fillId="20" borderId="1" applyAlignment="1" pivotButton="0" quotePrefix="0" xfId="0">
      <alignment horizontal="center" vertical="bottom"/>
    </xf>
    <xf numFmtId="0" fontId="17" fillId="0" borderId="1" applyAlignment="1" pivotButton="0" quotePrefix="0" xfId="0">
      <alignment horizontal="center" vertical="bottom"/>
    </xf>
    <xf numFmtId="0" fontId="17" fillId="21" borderId="1" applyAlignment="1" pivotButton="0" quotePrefix="0" xfId="0">
      <alignment horizontal="center" vertical="bottom"/>
    </xf>
    <xf numFmtId="0" fontId="18" fillId="0" borderId="0" applyAlignment="1" pivotButton="0" quotePrefix="0" xfId="0">
      <alignment horizontal="general" vertical="center"/>
    </xf>
    <xf numFmtId="0" fontId="19" fillId="0" borderId="0" applyAlignment="1" pivotButton="0" quotePrefix="0" xfId="0">
      <alignment horizontal="center" vertical="bottom"/>
    </xf>
    <xf numFmtId="0" fontId="19" fillId="0" borderId="0" applyAlignment="1" pivotButton="0" quotePrefix="0" xfId="0">
      <alignment horizontal="general" vertical="bottom"/>
    </xf>
    <xf numFmtId="0" fontId="20" fillId="0" borderId="1" applyAlignment="1" pivotButton="0" quotePrefix="0" xfId="0">
      <alignment horizontal="center" vertical="center" wrapText="1"/>
    </xf>
    <xf numFmtId="0" fontId="21" fillId="0" borderId="1" applyAlignment="1" pivotButton="0" quotePrefix="0" xfId="0">
      <alignment horizontal="center" vertical="center" wrapText="1"/>
    </xf>
    <xf numFmtId="0" fontId="21" fillId="20" borderId="1" applyAlignment="1" pivotButton="0" quotePrefix="0" xfId="0">
      <alignment horizontal="center" vertical="center" wrapText="1"/>
    </xf>
    <xf numFmtId="0" fontId="20" fillId="2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 wrapText="1"/>
    </xf>
    <xf numFmtId="0" fontId="20" fillId="21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vertical="center" wrapText="1"/>
    </xf>
    <xf numFmtId="0" fontId="20" fillId="0" borderId="0" applyAlignment="1" pivotButton="0" quotePrefix="0" xfId="0">
      <alignment horizontal="center" vertical="bottom"/>
    </xf>
    <xf numFmtId="0" fontId="25" fillId="0" borderId="1" applyAlignment="1" applyProtection="1" pivotButton="0" quotePrefix="0" xfId="0">
      <alignment horizontal="center" vertical="bottom"/>
      <protection locked="0" hidden="0"/>
    </xf>
    <xf numFmtId="0" fontId="25" fillId="20" borderId="1" applyAlignment="1" applyProtection="1" pivotButton="0" quotePrefix="0" xfId="0">
      <alignment horizontal="center" vertical="bottom"/>
      <protection locked="0" hidden="0"/>
    </xf>
    <xf numFmtId="0" fontId="25" fillId="21" borderId="1" applyAlignment="1" applyProtection="1" pivotButton="0" quotePrefix="0" xfId="0">
      <alignment horizontal="center" vertical="bottom"/>
      <protection locked="0" hidden="0"/>
    </xf>
    <xf numFmtId="0" fontId="25" fillId="0" borderId="1" applyAlignment="1" applyProtection="1" pivotButton="0" quotePrefix="0" xfId="0">
      <alignment horizontal="left" vertical="bottom"/>
      <protection locked="0" hidden="0"/>
    </xf>
    <xf numFmtId="0" fontId="26" fillId="0" borderId="0" applyAlignment="1" pivotButton="0" quotePrefix="0" xfId="0">
      <alignment horizontal="general" vertical="bottom"/>
    </xf>
    <xf numFmtId="0" fontId="25" fillId="0" borderId="1" applyAlignment="1" pivotButton="0" quotePrefix="0" xfId="0">
      <alignment horizontal="general" vertical="bottom"/>
    </xf>
    <xf numFmtId="165" fontId="19" fillId="0" borderId="1" applyAlignment="1" applyProtection="1" pivotButton="0" quotePrefix="0" xfId="0">
      <alignment horizontal="center" vertical="bottom"/>
      <protection locked="0" hidden="0"/>
    </xf>
    <xf numFmtId="0" fontId="25" fillId="22" borderId="1" applyAlignment="1" pivotButton="0" quotePrefix="0" xfId="0">
      <alignment horizontal="center" vertical="bottom"/>
    </xf>
    <xf numFmtId="165" fontId="19" fillId="22" borderId="1" applyAlignment="1" pivotButton="0" quotePrefix="0" xfId="0">
      <alignment horizontal="center" vertical="bottom"/>
    </xf>
    <xf numFmtId="0" fontId="25" fillId="0" borderId="0" applyAlignment="1" pivotButton="0" quotePrefix="0" xfId="0">
      <alignment horizontal="center" vertical="bottom"/>
    </xf>
    <xf numFmtId="165" fontId="19" fillId="0" borderId="0" applyAlignment="1" pivotButton="0" quotePrefix="0" xfId="0">
      <alignment horizontal="center" vertical="bottom"/>
    </xf>
    <xf numFmtId="0" fontId="19" fillId="0" borderId="1" applyAlignment="1" applyProtection="1" pivotButton="0" quotePrefix="0" xfId="0">
      <alignment horizontal="center" vertical="bottom"/>
      <protection locked="0" hidden="0"/>
    </xf>
    <xf numFmtId="0" fontId="25" fillId="0" borderId="0" applyAlignment="1" pivotButton="0" quotePrefix="0" xfId="0">
      <alignment horizontal="general" vertical="bottom"/>
    </xf>
    <xf numFmtId="0" fontId="20" fillId="0" borderId="0" applyAlignment="1" pivotButton="0" quotePrefix="0" xfId="0">
      <alignment horizontal="general" vertical="bottom"/>
    </xf>
    <xf numFmtId="0" fontId="23" fillId="0" borderId="0" applyAlignment="1" pivotButton="0" quotePrefix="0" xfId="0">
      <alignment horizontal="left" vertical="bottom"/>
    </xf>
    <xf numFmtId="0" fontId="27" fillId="0" borderId="0" applyAlignment="1" pivotButton="0" quotePrefix="0" xfId="0">
      <alignment horizontal="general" vertical="bottom"/>
    </xf>
    <xf numFmtId="0" fontId="28" fillId="0" borderId="0" applyAlignment="1" pivotButton="0" quotePrefix="0" xfId="20">
      <alignment horizontal="general" vertical="bottom"/>
    </xf>
    <xf numFmtId="0" fontId="16" fillId="11" borderId="1" applyAlignment="1" pivotButton="0" quotePrefix="0" xfId="0">
      <alignment horizontal="center" vertical="bottom"/>
    </xf>
    <xf numFmtId="0" fontId="17" fillId="23" borderId="1" applyAlignment="1" pivotButton="0" quotePrefix="0" xfId="0">
      <alignment horizontal="center" vertical="bottom"/>
    </xf>
    <xf numFmtId="0" fontId="21" fillId="0" borderId="0" applyAlignment="1" pivotButton="0" quotePrefix="0" xfId="0">
      <alignment horizontal="general" vertical="bottom"/>
    </xf>
    <xf numFmtId="0" fontId="27" fillId="0" borderId="0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0" fillId="4" borderId="1" applyAlignment="1" pivotButton="0" quotePrefix="0" xfId="0">
      <alignment horizontal="center" vertical="center" wrapText="1"/>
    </xf>
    <xf numFmtId="0" fontId="20" fillId="23" borderId="1" applyAlignment="1" pivotButton="0" quotePrefix="0" xfId="0">
      <alignment horizontal="center" vertical="center" wrapText="1"/>
    </xf>
    <xf numFmtId="0" fontId="20" fillId="23" borderId="5" applyAlignment="1" pivotButton="0" quotePrefix="0" xfId="0">
      <alignment horizontal="center" vertical="center" wrapText="1"/>
    </xf>
    <xf numFmtId="0" fontId="21" fillId="0" borderId="1" applyAlignment="1" pivotButton="0" quotePrefix="0" xfId="0">
      <alignment horizontal="general" vertical="center" wrapText="1"/>
    </xf>
    <xf numFmtId="0" fontId="11" fillId="0" borderId="1" applyAlignment="1" applyProtection="1" pivotButton="0" quotePrefix="0" xfId="0">
      <alignment horizontal="general" vertical="bottom"/>
      <protection locked="0" hidden="0"/>
    </xf>
    <xf numFmtId="0" fontId="25" fillId="11" borderId="1" applyAlignment="1" applyProtection="1" pivotButton="0" quotePrefix="0" xfId="0">
      <alignment horizontal="center" vertical="bottom"/>
      <protection locked="0" hidden="0"/>
    </xf>
    <xf numFmtId="0" fontId="19" fillId="21" borderId="1" applyAlignment="1" applyProtection="1" pivotButton="0" quotePrefix="0" xfId="0">
      <alignment horizontal="center" vertical="bottom"/>
      <protection locked="0" hidden="0"/>
    </xf>
    <xf numFmtId="0" fontId="19" fillId="21" borderId="1" applyAlignment="1" applyProtection="1" pivotButton="0" quotePrefix="0" xfId="0">
      <alignment horizontal="general" vertical="bottom"/>
      <protection locked="0" hidden="0"/>
    </xf>
    <xf numFmtId="0" fontId="19" fillId="4" borderId="1" applyAlignment="1" applyProtection="1" pivotButton="0" quotePrefix="0" xfId="0">
      <alignment horizontal="center" vertical="bottom"/>
      <protection locked="0" hidden="0"/>
    </xf>
    <xf numFmtId="0" fontId="19" fillId="23" borderId="1" applyAlignment="1" pivotButton="0" quotePrefix="0" xfId="0">
      <alignment horizontal="center" vertical="bottom"/>
    </xf>
    <xf numFmtId="0" fontId="19" fillId="23" borderId="5" applyAlignment="1" pivotButton="0" quotePrefix="0" xfId="0">
      <alignment horizontal="center" vertical="bottom"/>
    </xf>
    <xf numFmtId="0" fontId="19" fillId="0" borderId="1" applyAlignment="1" applyProtection="1" pivotButton="0" quotePrefix="0" xfId="0">
      <alignment horizontal="general" vertical="bottom"/>
      <protection locked="0" hidden="0"/>
    </xf>
    <xf numFmtId="0" fontId="25" fillId="21" borderId="1" applyAlignment="1" applyProtection="1" pivotButton="0" quotePrefix="0" xfId="0">
      <alignment horizontal="general" vertical="bottom"/>
      <protection locked="0" hidden="0"/>
    </xf>
    <xf numFmtId="0" fontId="19" fillId="0" borderId="1" applyAlignment="1" pivotButton="0" quotePrefix="0" xfId="0">
      <alignment horizontal="general" vertical="bottom"/>
    </xf>
    <xf numFmtId="0" fontId="27" fillId="0" borderId="0" applyAlignment="1" pivotButton="0" quotePrefix="0" xfId="0">
      <alignment horizontal="left" vertical="bottom"/>
    </xf>
    <xf numFmtId="0" fontId="0" fillId="0" borderId="0" applyAlignment="1" pivotButton="0" quotePrefix="0" xfId="0">
      <alignment horizontal="right" vertical="bottom"/>
    </xf>
    <xf numFmtId="0" fontId="4" fillId="24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9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center"/>
    </xf>
    <xf numFmtId="0" fontId="29" fillId="24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left" vertical="center"/>
    </xf>
    <xf numFmtId="0" fontId="0" fillId="25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general" vertical="center"/>
    </xf>
    <xf numFmtId="0" fontId="0" fillId="15" borderId="0" applyAlignment="1" pivotButton="0" quotePrefix="0" xfId="0">
      <alignment horizontal="general" vertical="bottom"/>
    </xf>
    <xf numFmtId="0" fontId="0" fillId="24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general" vertical="center"/>
    </xf>
  </cellXfs>
  <cellStyles count="7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*unknown*" xfId="6" builtinId="8"/>
  </cellStyles>
  <dxfs count="2">
    <dxf>
      <font>
        <b val="1"/>
      </font>
      <fill>
        <patternFill>
          <bgColor rgb="FF000000"/>
        </patternFill>
      </fill>
    </dxf>
    <dxf>
      <font>
        <color rgb="FF000000"/>
      </font>
      <fill>
        <patternFill>
          <bgColor rgb="FF000000"/>
        </patternFill>
      </fill>
      <border>
        <left style="thin"/>
        <right style="thin"/>
        <top style="thin"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2F75B5"/>
      <rgbColor rgb="FFBFBFBF"/>
      <rgbColor rgb="FF757171"/>
      <rgbColor rgb="FFA9D08E"/>
      <rgbColor rgb="FF993366"/>
      <rgbColor rgb="FFFFFFCC"/>
      <rgbColor rgb="FFCCECFF"/>
      <rgbColor rgb="FF660066"/>
      <rgbColor rgb="FFFF8080"/>
      <rgbColor rgb="FF0563C1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C5E0B4"/>
      <rgbColor rgb="FFFFF2CC"/>
      <rgbColor rgb="FF9BC2E6"/>
      <rgbColor rgb="FFF4B084"/>
      <rgbColor rgb="FFA9D18E"/>
      <rgbColor rgb="FFFFD966"/>
      <rgbColor rgb="FF4472C4"/>
      <rgbColor rgb="FF33CCCC"/>
      <rgbColor rgb="FF92D050"/>
      <rgbColor rgb="FFFFCC00"/>
      <rgbColor rgb="FFBF8F00"/>
      <rgbColor rgb="FFC65911"/>
      <rgbColor rgb="FF666699"/>
      <rgbColor rgb="FFAEAAAA"/>
      <rgbColor rgb="FF003366"/>
      <rgbColor rgb="FF00B050"/>
      <rgbColor rgb="FF003300"/>
      <rgbColor rgb="FF333300"/>
      <rgbColor rgb="FF993300"/>
      <rgbColor rgb="FF993366"/>
      <rgbColor rgb="FF333399"/>
      <rgbColor rgb="FF444444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comments/comment1.xml><?xml version="1.0" encoding="utf-8"?>
<comments xmlns="http://schemas.openxmlformats.org/spreadsheetml/2006/main">
  <authors>
    <author> </author>
  </authors>
  <commentList>
    <comment ref="B5" authorId="0" shapeId="0">
      <text>
        <t>Format: PGD0000</t>
      </text>
    </comment>
    <comment ref="B10" authorId="0" shapeId="0">
      <text>
        <t xml:space="preserve">Graeme Smith:
</t>
      </text>
    </comment>
    <comment ref="L11" authorId="0" shapeId="0">
      <text>
        <t>Name of the text file to be processed.  Files use have no suffix such as txt.</t>
      </text>
    </comment>
    <comment ref="G13" authorId="0" shapeId="0">
      <text>
        <t>The Reference relationship is measured from the relevant partner i.e. the embryo's grandfather would be recorded as 'father' in this field as this is the relationship to the relevant partner.</t>
      </text>
    </comment>
    <comment ref="L13" authorId="0" shapeId="0">
      <text>
        <t>Multiple Biopsy Numbers may be entered in the 'Embryo Data' section representing different cycles, ONLY THE BIOPSY NUMBER HERE WILL BE INCLUDED IN THIS ANALYSIS</t>
      </text>
    </comment>
    <comment ref="A14" authorId="0" shapeId="0">
      <text>
        <t>Graeme Smith:
If pateint requires multiple analyses for different genes/modes of inheritance then a separate excel file will have to be created for each one.</t>
      </text>
    </comment>
    <comment ref="J22" authorId="0" shapeId="0">
      <text>
        <t>Graeme Smith:
Biopsy Number is Unique for each cycle</t>
      </text>
    </comment>
    <comment ref="K22" authorId="0" shapeId="0">
      <text>
        <t>Graeme Smith:
In the format:
7AS_E1
7AS_E11</t>
      </text>
    </comment>
    <comment ref="M22" authorId="0" shapeId="0">
      <text>
        <t>Graeme Smith:
Column name relating to the embryo from the input txt file.</t>
      </text>
    </comment>
    <comment ref="B28" authorId="0" shapeId="0">
      <text>
        <t>Paste co-ordinates in the format chr1:1,234,570-1,234,870 to auto populate the fields below.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Relationships xmlns="http://schemas.openxmlformats.org/package/2006/relationships"><Relationship Type="http://schemas.openxmlformats.org/officeDocument/2006/relationships/hyperlink" Target="../../../../../../Current/PGD/pgd%20results/SNP%20array/Genotyping%20data%20from%20MSV%20&amp;%20ChAS%20detail%20view%20exports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../../../../../../Current/PGD/pgd%20results/SNP%20array/Genotyping%20data%20from%20MSV%20&amp;%20ChAS%20detail%20view%20exports" TargetMode="External" Id="rId1"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N4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selection pane="topLeft" activeCell="G38" activeCellId="0" sqref="G38"/>
    </sheetView>
  </sheetViews>
  <sheetFormatPr baseColWidth="8" defaultColWidth="9.1796875" defaultRowHeight="14.25" zeroHeight="0" outlineLevelRow="0"/>
  <cols>
    <col width="30.81" customWidth="1" style="132" min="1" max="1"/>
    <col width="30.54" customWidth="1" style="132" min="2" max="2"/>
    <col width="23.55" customWidth="1" style="132" min="3" max="3"/>
    <col width="9.18" customWidth="1" style="132" min="4" max="4"/>
    <col width="8.449999999999999" customWidth="1" style="132" min="5" max="5"/>
    <col width="6.18" customWidth="1" style="132" min="6" max="6"/>
    <col width="27.81" customWidth="1" style="132" min="7" max="7"/>
    <col width="17.17" customWidth="1" style="132" min="8" max="10"/>
    <col width="12.27" customWidth="1" style="132" min="11" max="11"/>
    <col width="12.45" customWidth="1" style="132" min="12" max="12"/>
    <col width="40.45" customWidth="1" style="132" min="13" max="13"/>
    <col width="6.54" customWidth="1" style="132" min="14" max="14"/>
    <col width="7.73" customWidth="1" style="132" min="15" max="15"/>
    <col width="6.27" customWidth="1" style="132" min="16" max="16"/>
    <col width="11.27" customWidth="1" style="132" min="17" max="17"/>
    <col width="17.17" customWidth="1" style="132" min="18" max="19"/>
    <col width="48.45" customWidth="1" style="132" min="20" max="20"/>
    <col width="6.27" customWidth="1" style="132" min="21" max="21"/>
    <col width="9.18" customWidth="1" style="132" min="22" max="1024"/>
  </cols>
  <sheetData>
    <row r="1" ht="14.25" customHeight="1" s="133">
      <c r="A1" s="134" t="inlineStr">
        <is>
          <t>Meta Data</t>
        </is>
      </c>
      <c r="B1" s="135" t="n"/>
      <c r="C1" s="135" t="n"/>
      <c r="D1" s="136" t="n"/>
      <c r="F1" s="137" t="inlineStr">
        <is>
          <t>Sample Data</t>
        </is>
      </c>
    </row>
    <row r="2" ht="14.25" customHeight="1" s="133">
      <c r="A2" s="138" t="n"/>
      <c r="B2" s="138" t="n"/>
      <c r="C2" s="138" t="n"/>
      <c r="D2" s="138" t="n"/>
      <c r="F2" s="139" t="n"/>
      <c r="G2" s="139" t="n"/>
      <c r="H2" s="140" t="n"/>
      <c r="I2" s="139" t="n"/>
      <c r="J2" s="139" t="n"/>
      <c r="K2" s="139" t="n"/>
      <c r="L2" s="139" t="n"/>
      <c r="M2" s="139" t="n"/>
      <c r="N2" s="139" t="n"/>
    </row>
    <row r="3" ht="14.25" customHeight="1" s="133">
      <c r="A3" s="141" t="inlineStr">
        <is>
          <t>Mode of Inheritance</t>
        </is>
      </c>
      <c r="B3" s="142" t="n"/>
      <c r="C3" s="143" t="n"/>
      <c r="D3" s="143" t="n"/>
      <c r="F3" s="139" t="n"/>
      <c r="G3" s="140" t="inlineStr">
        <is>
          <t>Sample Type:</t>
        </is>
      </c>
      <c r="H3" s="140" t="inlineStr">
        <is>
          <t>Sex:</t>
        </is>
      </c>
      <c r="I3" s="140" t="inlineStr">
        <is>
          <t>Forename:</t>
        </is>
      </c>
      <c r="J3" s="140" t="inlineStr">
        <is>
          <t>Surname:</t>
        </is>
      </c>
      <c r="K3" s="140" t="inlineStr">
        <is>
          <t>DOB:</t>
        </is>
      </c>
      <c r="L3" s="140" t="inlineStr">
        <is>
          <t>DNA No:</t>
        </is>
      </c>
      <c r="M3" s="140" t="inlineStr">
        <is>
          <t>Column Name:</t>
        </is>
      </c>
      <c r="N3" s="140" t="n"/>
    </row>
    <row r="4" ht="14.25" customHeight="1" s="133">
      <c r="A4" s="144" t="n"/>
      <c r="B4" s="145" t="n"/>
      <c r="C4" s="143" t="n"/>
      <c r="D4" s="143" t="n"/>
      <c r="F4" s="139" t="n"/>
      <c r="G4" s="146" t="n"/>
      <c r="H4" s="146" t="n"/>
      <c r="I4" s="147" t="n"/>
      <c r="J4" s="147" t="n"/>
      <c r="K4" s="148" t="n"/>
      <c r="L4" s="147" t="n"/>
      <c r="M4" s="149" t="n"/>
      <c r="N4" s="139" t="n"/>
    </row>
    <row r="5" ht="14.25" customHeight="1" s="133">
      <c r="A5" s="144" t="inlineStr">
        <is>
          <t>PGD worksheet:</t>
        </is>
      </c>
      <c r="B5" s="146" t="n"/>
      <c r="C5" s="143" t="n"/>
      <c r="D5" s="143" t="n"/>
      <c r="F5" s="139" t="n"/>
      <c r="G5" s="139" t="n"/>
      <c r="H5" s="140" t="n"/>
      <c r="I5" s="139" t="n"/>
      <c r="J5" s="139" t="n"/>
      <c r="K5" s="139" t="n"/>
      <c r="L5" s="139" t="n"/>
      <c r="M5" s="150" t="n"/>
      <c r="N5" s="139" t="n"/>
    </row>
    <row r="6" ht="14.25" customHeight="1" s="133">
      <c r="A6" s="151" t="n"/>
      <c r="B6" s="143" t="n"/>
      <c r="C6" s="143" t="n"/>
      <c r="D6" s="143" t="n"/>
      <c r="F6" s="139" t="n"/>
      <c r="G6" s="146" t="n"/>
      <c r="H6" s="146" t="n"/>
      <c r="I6" s="147" t="n"/>
      <c r="J6" s="147" t="n"/>
      <c r="K6" s="148" t="n"/>
      <c r="L6" s="147" t="n"/>
      <c r="M6" s="149" t="n"/>
      <c r="N6" s="139" t="n"/>
    </row>
    <row r="7" ht="14.25" customHeight="1" s="133">
      <c r="F7" s="139" t="n"/>
      <c r="G7" s="139" t="n"/>
      <c r="H7" s="140" t="n"/>
      <c r="I7" s="139" t="n"/>
      <c r="J7" s="139" t="n"/>
      <c r="K7" s="139" t="n"/>
      <c r="L7" s="139" t="n"/>
      <c r="M7" s="150" t="n"/>
      <c r="N7" s="139" t="n"/>
    </row>
    <row r="8" ht="14.25" customHeight="1" s="133">
      <c r="A8" s="152" t="inlineStr">
        <is>
          <t>Additional Data</t>
        </is>
      </c>
      <c r="F8" s="139" t="n"/>
      <c r="G8" s="153" t="inlineStr">
        <is>
          <t>Reference:</t>
        </is>
      </c>
      <c r="H8" s="146" t="n"/>
      <c r="I8" s="146" t="n"/>
      <c r="J8" s="146" t="n"/>
      <c r="K8" s="154" t="n"/>
      <c r="L8" s="146" t="n"/>
      <c r="M8" s="149" t="n"/>
      <c r="N8" s="139" t="n"/>
    </row>
    <row r="9" ht="14.25" customHeight="1" s="133">
      <c r="A9" s="155" t="n"/>
      <c r="B9" s="155" t="n"/>
      <c r="C9" s="155" t="n"/>
      <c r="D9" s="155" t="n"/>
      <c r="F9" s="139" t="n"/>
      <c r="G9" s="140" t="n"/>
      <c r="H9" s="139" t="n"/>
      <c r="I9" s="139" t="n"/>
      <c r="J9" s="139" t="n"/>
      <c r="K9" s="139" t="n"/>
      <c r="L9" s="139" t="n"/>
      <c r="M9" s="150" t="n"/>
      <c r="N9" s="139" t="n"/>
    </row>
    <row r="10" ht="14.25" customHeight="1" s="133">
      <c r="A10" s="156" t="inlineStr">
        <is>
          <t>PRU No: (family)</t>
        </is>
      </c>
      <c r="B10" s="146" t="n"/>
      <c r="C10" s="157" t="n"/>
      <c r="D10" s="158" t="n"/>
      <c r="F10" s="139" t="n"/>
      <c r="G10" s="140" t="inlineStr">
        <is>
          <t>Reference Details:</t>
        </is>
      </c>
      <c r="H10" s="139" t="n"/>
      <c r="I10" s="139" t="n"/>
      <c r="J10" s="139" t="n"/>
      <c r="K10" s="139" t="n"/>
      <c r="L10" s="139" t="n"/>
      <c r="M10" s="139" t="n"/>
      <c r="N10" s="139" t="n"/>
    </row>
    <row r="11" ht="14.25" customHeight="1" s="133">
      <c r="A11" s="156" t="inlineStr">
        <is>
          <t>Female partner Hospital No:</t>
        </is>
      </c>
      <c r="B11" s="159" t="n"/>
      <c r="C11" s="158" t="n"/>
      <c r="D11" s="158" t="n"/>
      <c r="F11" s="139" t="n"/>
      <c r="G11" s="153" t="inlineStr">
        <is>
          <t>ref_status:</t>
        </is>
      </c>
      <c r="H11" s="146" t="n"/>
      <c r="I11" s="139" t="n"/>
      <c r="J11" s="139" t="n"/>
      <c r="K11" s="160" t="n"/>
      <c r="L11" s="161" t="inlineStr">
        <is>
          <t>Input File Name:</t>
        </is>
      </c>
      <c r="M11" s="149" t="n"/>
      <c r="N11" s="139" t="n"/>
    </row>
    <row r="12" ht="14.25" customHeight="1" s="133">
      <c r="A12" s="156" t="inlineStr">
        <is>
          <t>PGD worksheet (de novo)</t>
        </is>
      </c>
      <c r="B12" s="162" t="n"/>
      <c r="C12" s="158" t="n"/>
      <c r="D12" s="158" t="n"/>
      <c r="F12" s="139" t="n"/>
      <c r="G12" s="153" t="inlineStr">
        <is>
          <t>ref_relationship:</t>
        </is>
      </c>
      <c r="H12" s="159" t="n"/>
      <c r="I12" s="139" t="n"/>
      <c r="J12" s="139" t="n"/>
      <c r="K12" s="160" t="n"/>
      <c r="L12" s="160" t="n"/>
      <c r="M12" s="160" t="n"/>
      <c r="N12" s="139" t="n"/>
    </row>
    <row r="13" ht="14.25" customHeight="1" s="133">
      <c r="A13" s="163" t="n"/>
      <c r="B13" s="158" t="n"/>
      <c r="C13" s="158" t="n"/>
      <c r="D13" s="158" t="n"/>
      <c r="F13" s="139" t="n"/>
      <c r="G13" s="153" t="inlineStr">
        <is>
          <t>ref_relationship_to_couple:</t>
        </is>
      </c>
      <c r="H13" s="146" t="n"/>
      <c r="I13" s="139" t="n"/>
      <c r="J13" s="139" t="n"/>
      <c r="K13" s="160" t="n"/>
      <c r="L13" s="161" t="inlineStr">
        <is>
          <t>Biopsy No for analysis:</t>
        </is>
      </c>
      <c r="M13" s="146" t="n"/>
      <c r="N13" s="139" t="n"/>
    </row>
    <row r="14" ht="14.25" customHeight="1" s="133">
      <c r="A14" s="156" t="inlineStr">
        <is>
          <t>Multiple analysis for this patient?</t>
        </is>
      </c>
      <c r="B14" s="164" t="n"/>
      <c r="C14" s="158" t="n"/>
      <c r="D14" s="158" t="n"/>
      <c r="F14" s="139" t="n"/>
      <c r="G14" s="139" t="n"/>
      <c r="H14" s="139" t="n"/>
      <c r="I14" s="139" t="n"/>
      <c r="J14" s="139" t="n"/>
      <c r="K14" s="160" t="n"/>
      <c r="L14" s="160" t="inlineStr">
        <is>
          <t>Samples with above Biopsy Number are run through the script</t>
        </is>
      </c>
      <c r="M14" s="160" t="n"/>
      <c r="N14" s="139" t="n"/>
    </row>
    <row r="15" ht="14.25" customHeight="1" s="133">
      <c r="A15" s="156" t="n"/>
      <c r="B15" s="158" t="n"/>
      <c r="C15" s="158" t="n"/>
      <c r="D15" s="158" t="n"/>
      <c r="F15" s="139" t="n"/>
      <c r="G15" s="165" t="inlineStr">
        <is>
          <t>consanguineous:</t>
        </is>
      </c>
      <c r="H15" s="146" t="n"/>
      <c r="I15" s="139" t="n"/>
      <c r="J15" s="139" t="n"/>
      <c r="K15" s="139" t="n"/>
      <c r="L15" s="139" t="n"/>
      <c r="M15" s="139" t="n"/>
      <c r="N15" s="139" t="n"/>
    </row>
    <row r="16" ht="14.25" customHeight="1" s="133">
      <c r="A16" s="166" t="inlineStr">
        <is>
          <t>Disease Name:</t>
        </is>
      </c>
      <c r="B16" s="167" t="n"/>
      <c r="C16" s="158" t="n"/>
      <c r="D16" s="158" t="n"/>
      <c r="F16" s="139" t="n"/>
      <c r="G16" s="168" t="n"/>
      <c r="H16" s="139" t="n"/>
      <c r="I16" s="139" t="n"/>
      <c r="J16" s="139" t="n"/>
      <c r="K16" s="139" t="n"/>
      <c r="L16" s="139" t="n"/>
      <c r="M16" s="139" t="n"/>
      <c r="N16" s="139" t="n"/>
    </row>
    <row r="17" ht="14.25" customHeight="1" s="133">
      <c r="A17" s="166" t="inlineStr">
        <is>
          <t>Disease OMIM:</t>
        </is>
      </c>
      <c r="B17" s="169" t="n"/>
      <c r="C17" s="158" t="n"/>
      <c r="D17" s="158" t="n"/>
      <c r="F17" s="139" t="n"/>
      <c r="G17" s="170" t="inlineStr">
        <is>
          <t>de novo:</t>
        </is>
      </c>
      <c r="H17" s="146" t="n"/>
      <c r="I17" s="139" t="n"/>
      <c r="J17" s="139" t="n"/>
      <c r="K17" s="139" t="n"/>
      <c r="L17" s="139">
        <f>IF(B3 ="Autosomal_Dominant", "Exclusion?", "")</f>
        <v/>
      </c>
      <c r="M17" s="139" t="n"/>
      <c r="N17" s="139" t="n"/>
    </row>
    <row r="18" ht="14.25" customHeight="1" s="133">
      <c r="A18" s="156" t="n"/>
      <c r="B18" s="158" t="n"/>
      <c r="C18" s="158" t="n"/>
      <c r="D18" s="158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</row>
    <row r="19" ht="14.25" customHeight="1" s="133">
      <c r="A19" s="156" t="inlineStr">
        <is>
          <t>Maternal mutation:</t>
        </is>
      </c>
      <c r="B19" s="171" t="n"/>
      <c r="C19" s="158" t="n"/>
      <c r="D19" s="158" t="n"/>
    </row>
    <row r="20" ht="14.25" customHeight="1" s="133">
      <c r="A20" s="156" t="inlineStr">
        <is>
          <t>Paternal mutation:</t>
        </is>
      </c>
      <c r="B20" s="171" t="n"/>
      <c r="C20" s="158" t="n"/>
      <c r="D20" s="158" t="n"/>
      <c r="I20" s="172" t="inlineStr">
        <is>
          <t>Embryo Data</t>
        </is>
      </c>
    </row>
    <row r="21" ht="14.25" customHeight="1" s="133">
      <c r="A21" s="156" t="inlineStr">
        <is>
          <t>Reference Seq:</t>
        </is>
      </c>
      <c r="B21" s="171" t="n"/>
      <c r="C21" s="157" t="n"/>
      <c r="D21" s="158" t="n"/>
      <c r="I21" s="173" t="n"/>
      <c r="J21" s="174" t="n"/>
      <c r="K21" s="175" t="n"/>
      <c r="L21" s="175" t="n"/>
      <c r="M21" s="175" t="n"/>
      <c r="N21" s="175" t="n"/>
    </row>
    <row r="22" ht="14.25" customHeight="1" s="133">
      <c r="A22" s="176" t="n"/>
      <c r="B22" s="158" t="n"/>
      <c r="C22" s="158" t="n"/>
      <c r="D22" s="158" t="n"/>
      <c r="I22" s="175" t="n"/>
      <c r="J22" s="174" t="inlineStr">
        <is>
          <t>Biopsy No:</t>
        </is>
      </c>
      <c r="K22" s="174" t="inlineStr">
        <is>
          <t>Embryo ID:</t>
        </is>
      </c>
      <c r="L22" s="174" t="inlineStr">
        <is>
          <t>Embryo Sex:</t>
        </is>
      </c>
      <c r="M22" s="174" t="inlineStr">
        <is>
          <t>Column Name:</t>
        </is>
      </c>
      <c r="N22" s="175" t="n"/>
    </row>
    <row r="23" ht="14.25" customHeight="1" s="133">
      <c r="I23" s="174" t="n"/>
      <c r="J23" s="177" t="n"/>
      <c r="K23" s="177" t="n"/>
      <c r="L23" s="178" t="n"/>
      <c r="M23" s="149" t="n"/>
      <c r="N23" s="175" t="n"/>
    </row>
    <row r="24" ht="14.25" customHeight="1" s="133">
      <c r="A24" s="179" t="inlineStr">
        <is>
          <t>Gene of Interest</t>
        </is>
      </c>
      <c r="I24" s="174" t="n"/>
      <c r="J24" s="177" t="n"/>
      <c r="K24" s="177" t="n"/>
      <c r="L24" s="178" t="n"/>
      <c r="M24" s="149" t="n"/>
      <c r="N24" s="175" t="n"/>
    </row>
    <row r="25" ht="14.25" customHeight="1" s="133">
      <c r="A25" s="180" t="n"/>
      <c r="B25" s="181" t="n"/>
      <c r="C25" s="180" t="inlineStr">
        <is>
          <t>Gene OMIM:</t>
        </is>
      </c>
      <c r="D25" s="181" t="n"/>
      <c r="I25" s="174" t="n"/>
      <c r="J25" s="177" t="n"/>
      <c r="K25" s="177" t="n"/>
      <c r="L25" s="178" t="n"/>
      <c r="M25" s="149" t="n"/>
      <c r="N25" s="175" t="n"/>
    </row>
    <row r="26" ht="14.25" customHeight="1" s="133">
      <c r="A26" s="182" t="inlineStr">
        <is>
          <t>Gene of Interest:</t>
        </is>
      </c>
      <c r="B26" s="183" t="n"/>
      <c r="C26" s="184" t="n"/>
      <c r="D26" s="185" t="n"/>
      <c r="I26" s="174" t="n"/>
      <c r="J26" s="177" t="n"/>
      <c r="K26" s="177" t="n"/>
      <c r="L26" s="178" t="n"/>
      <c r="M26" s="149" t="n"/>
      <c r="N26" s="175" t="n"/>
    </row>
    <row r="27" ht="14.25" customHeight="1" s="133">
      <c r="A27" s="186" t="n"/>
      <c r="B27" s="185" t="n"/>
      <c r="C27" s="185" t="n"/>
      <c r="D27" s="185" t="n"/>
      <c r="I27" s="174" t="n"/>
      <c r="J27" s="177" t="n"/>
      <c r="K27" s="177" t="n"/>
      <c r="L27" s="178" t="n"/>
      <c r="M27" s="149" t="n"/>
      <c r="N27" s="175" t="n"/>
    </row>
    <row r="28" ht="14.25" customHeight="1" s="133">
      <c r="A28" s="187" t="inlineStr">
        <is>
          <t>Paste Genome Coordinate:</t>
        </is>
      </c>
      <c r="B28" s="164" t="n"/>
      <c r="C28" s="181" t="inlineStr">
        <is>
          <t>GRCh38/hg38</t>
        </is>
      </c>
      <c r="D28" s="181" t="n"/>
      <c r="I28" s="174" t="n"/>
      <c r="J28" s="177" t="n"/>
      <c r="K28" s="177" t="n"/>
      <c r="L28" s="178" t="n"/>
      <c r="M28" s="149" t="n"/>
      <c r="N28" s="175" t="n"/>
    </row>
    <row r="29" ht="14.25" customHeight="1" s="133">
      <c r="A29" s="188" t="n"/>
      <c r="B29" s="181" t="n"/>
      <c r="C29" s="181" t="n"/>
      <c r="D29" s="181" t="n"/>
      <c r="I29" s="174" t="n"/>
      <c r="J29" s="177" t="n"/>
      <c r="K29" s="177" t="n"/>
      <c r="L29" s="178" t="n"/>
      <c r="M29" s="149" t="n"/>
      <c r="N29" s="175" t="n"/>
    </row>
    <row r="30" ht="14.25" customHeight="1" s="133">
      <c r="A30" s="187" t="inlineStr">
        <is>
          <t>Chromosome:</t>
        </is>
      </c>
      <c r="B30" s="189">
        <f>SUBSTITUTE(UPPER(LEFT(B28,(FIND(":",B28, 1)-1))), "CHR", "")</f>
        <v/>
      </c>
      <c r="C30" s="181" t="n"/>
      <c r="D30" s="181" t="n"/>
      <c r="I30" s="174" t="n"/>
      <c r="J30" s="177" t="n"/>
      <c r="K30" s="177" t="n"/>
      <c r="L30" s="178" t="n"/>
      <c r="M30" s="149" t="n"/>
      <c r="N30" s="175" t="n"/>
    </row>
    <row r="31" ht="14.25" customHeight="1" s="133">
      <c r="A31" s="188" t="n"/>
      <c r="B31" s="190" t="inlineStr">
        <is>
          <t>Start</t>
        </is>
      </c>
      <c r="C31" s="190" t="inlineStr">
        <is>
          <t>End</t>
        </is>
      </c>
      <c r="D31" s="181" t="n"/>
      <c r="I31" s="174" t="n"/>
      <c r="J31" s="177" t="n"/>
      <c r="K31" s="177" t="n"/>
      <c r="L31" s="178" t="n"/>
      <c r="M31" s="149" t="n"/>
      <c r="N31" s="175" t="n"/>
    </row>
    <row r="32" ht="14.25" customHeight="1" s="133">
      <c r="A32" s="187" t="inlineStr">
        <is>
          <t>Genomic_range (GRCh38):</t>
        </is>
      </c>
      <c r="B32" s="191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LEFT(B28, FIND("-", B28)-1), ",", ""), "chrY:", ""), "chrX:", ""), "chr22:", ""), "chr21:", ""), "chr20:", ""), "chr19:", ""), "chr18:", ""), "chr17:", ""), "chr16:", ""), "chr15:", ""), "chr14:", ""), "chr13:", ""), "chr12:", ""), "chr11:", ""), "chr10:", ""), "chr9:", ""), "chr8:", ""), "chr7:", ""), "chr6:", ""), "chr5:", ""), "chr4:", ""), "chr3:", ""), "chr2:", ""), "chr1:", "")</f>
        <v/>
      </c>
      <c r="C32" s="189">
        <f>SUBSTITUTE(RIGHT(B28, (LEN(B28) - FIND("-",B28,1))), ",","")</f>
        <v/>
      </c>
      <c r="D32" s="181" t="n"/>
      <c r="I32" s="174" t="n"/>
      <c r="J32" s="177" t="n"/>
      <c r="K32" s="177" t="n"/>
      <c r="L32" s="178" t="n"/>
      <c r="M32" s="149" t="n"/>
      <c r="N32" s="175" t="n"/>
    </row>
    <row r="33" ht="14.25" customHeight="1" s="133">
      <c r="A33" s="188" t="n"/>
      <c r="B33" s="181" t="n"/>
      <c r="C33" s="181" t="n"/>
      <c r="D33" s="181" t="n"/>
      <c r="I33" s="174" t="n"/>
      <c r="J33" s="177" t="n"/>
      <c r="K33" s="177" t="n"/>
      <c r="L33" s="178" t="n"/>
      <c r="M33" s="149" t="n"/>
      <c r="N33" s="175" t="n"/>
    </row>
    <row r="34" ht="14.25" customHeight="1" s="133">
      <c r="A34" s="182" t="inlineStr">
        <is>
          <t>Size, Flanking Region:</t>
        </is>
      </c>
      <c r="B34" s="146" t="n">
        <v>2</v>
      </c>
      <c r="C34" s="192" t="inlineStr">
        <is>
          <t>MB</t>
        </is>
      </c>
      <c r="D34" s="185" t="n"/>
      <c r="I34" s="174" t="n"/>
      <c r="J34" s="177" t="n"/>
      <c r="K34" s="177" t="n"/>
      <c r="L34" s="178" t="n"/>
      <c r="M34" s="149" t="n"/>
      <c r="N34" s="175" t="n"/>
    </row>
    <row r="35" ht="14.25" customHeight="1" s="133">
      <c r="A35" s="186" t="inlineStr">
        <is>
          <t>(Default = 2MB)</t>
        </is>
      </c>
      <c r="B35" s="185" t="n"/>
      <c r="C35" s="185" t="n"/>
      <c r="D35" s="185" t="n"/>
      <c r="I35" s="174" t="n"/>
      <c r="J35" s="177" t="n"/>
      <c r="K35" s="177" t="n"/>
      <c r="L35" s="178" t="n"/>
      <c r="M35" s="149" t="n"/>
      <c r="N35" s="175" t="n"/>
    </row>
    <row r="36" ht="14.25" customHeight="1" s="133">
      <c r="I36" s="174" t="n"/>
      <c r="J36" s="177" t="n"/>
      <c r="K36" s="177" t="n"/>
      <c r="L36" s="178" t="n"/>
      <c r="M36" s="149" t="n"/>
      <c r="N36" s="175" t="n"/>
    </row>
    <row r="37" ht="14.25" customHeight="1" s="133">
      <c r="A37" s="193" t="inlineStr">
        <is>
          <t>Template_version:</t>
        </is>
      </c>
      <c r="B37" s="194" t="inlineStr">
        <is>
          <t>SNP_haplotype_template_v1.7 edited HH</t>
        </is>
      </c>
      <c r="C37" s="194" t="n"/>
      <c r="I37" s="174" t="n"/>
      <c r="J37" s="177" t="n"/>
      <c r="K37" s="177" t="n"/>
      <c r="L37" s="178" t="n"/>
      <c r="M37" s="149" t="n"/>
      <c r="N37" s="175" t="n"/>
    </row>
    <row r="38" ht="14.25" customHeight="1" s="133">
      <c r="I38" s="174" t="n"/>
      <c r="J38" s="177" t="n"/>
      <c r="K38" s="177" t="n"/>
      <c r="L38" s="178" t="n"/>
      <c r="M38" s="149" t="n"/>
      <c r="N38" s="175" t="n"/>
    </row>
    <row r="39" ht="14.25" customHeight="1" s="133">
      <c r="I39" s="174" t="n"/>
      <c r="J39" s="177" t="n"/>
      <c r="K39" s="177" t="n"/>
      <c r="L39" s="178" t="n"/>
      <c r="M39" s="149" t="n"/>
      <c r="N39" s="175" t="n"/>
    </row>
    <row r="40" ht="14.25" customHeight="1" s="133">
      <c r="I40" s="174" t="n"/>
      <c r="J40" s="177" t="n"/>
      <c r="K40" s="177" t="n"/>
      <c r="L40" s="178" t="n"/>
      <c r="M40" s="149" t="n"/>
      <c r="N40" s="175" t="n"/>
    </row>
    <row r="41" ht="14.25" customHeight="1" s="133">
      <c r="I41" s="174" t="n"/>
      <c r="J41" s="177" t="n"/>
      <c r="K41" s="177" t="n"/>
      <c r="L41" s="178" t="n"/>
      <c r="M41" s="149" t="n"/>
      <c r="N41" s="175" t="n"/>
    </row>
    <row r="42" ht="14.25" customHeight="1" s="133">
      <c r="I42" s="174" t="n"/>
      <c r="J42" s="177" t="n"/>
      <c r="K42" s="177" t="n"/>
      <c r="L42" s="178" t="n"/>
      <c r="M42" s="149" t="n"/>
      <c r="N42" s="175" t="n"/>
    </row>
    <row r="43" ht="14.25" customHeight="1" s="133">
      <c r="I43" s="174" t="n"/>
      <c r="J43" s="177" t="n"/>
      <c r="K43" s="177" t="n"/>
      <c r="L43" s="178" t="n"/>
      <c r="M43" s="149" t="n"/>
      <c r="N43" s="175" t="n"/>
    </row>
    <row r="44" ht="14.25" customHeight="1" s="133">
      <c r="I44" s="174" t="n"/>
      <c r="J44" s="177" t="n"/>
      <c r="K44" s="177" t="n"/>
      <c r="L44" s="178" t="n"/>
      <c r="M44" s="149" t="n"/>
      <c r="N44" s="175" t="n"/>
    </row>
    <row r="45" ht="14.25" customHeight="1" s="133">
      <c r="I45" s="174" t="n"/>
      <c r="J45" s="177" t="n"/>
      <c r="K45" s="177" t="n"/>
      <c r="L45" s="178" t="n"/>
      <c r="M45" s="149" t="n"/>
      <c r="N45" s="175" t="n"/>
    </row>
    <row r="46" ht="14.25" customHeight="1" s="133">
      <c r="I46" s="174" t="n"/>
      <c r="J46" s="177" t="n"/>
      <c r="K46" s="177" t="n"/>
      <c r="L46" s="178" t="n"/>
      <c r="M46" s="149" t="n"/>
      <c r="N46" s="175" t="n"/>
    </row>
    <row r="47" ht="14.25" customHeight="1" s="133">
      <c r="I47" s="174" t="n"/>
      <c r="J47" s="177" t="n"/>
      <c r="K47" s="177" t="n"/>
      <c r="L47" s="178" t="n"/>
      <c r="M47" s="149" t="n"/>
      <c r="N47" s="175" t="n"/>
    </row>
    <row r="48" ht="14.25" customHeight="1" s="133">
      <c r="I48" s="175" t="n"/>
      <c r="J48" s="175" t="n"/>
      <c r="K48" s="175" t="n"/>
      <c r="L48" s="175" t="n"/>
      <c r="M48" s="175" t="n"/>
      <c r="N48" s="175" t="n"/>
    </row>
  </sheetData>
  <mergeCells count="5">
    <mergeCell ref="A1:D1"/>
    <mergeCell ref="F1:N1"/>
    <mergeCell ref="A8:D8"/>
    <mergeCell ref="I20:N20"/>
    <mergeCell ref="A24:D24"/>
  </mergeCells>
  <conditionalFormatting sqref="L17">
    <cfRule type="cellIs" rank="0" priority="2" equalAverage="0" operator="equal" aboveAverage="0" dxfId="0" text="" percent="0" bottom="0">
      <formula>"Exclusion?"</formula>
    </cfRule>
  </conditionalFormatting>
  <conditionalFormatting sqref="M17">
    <cfRule type="expression" rank="0" priority="3" equalAverage="0" aboveAverage="0" dxfId="1" text="" percent="0" bottom="0">
      <formula>$L$17="Exclusion?"</formula>
    </cfRule>
  </conditionalFormatting>
  <dataValidations count="12">
    <dataValidation sqref="B3" showErrorMessage="1" showDropDown="0" showInputMessage="1" allowBlank="1" type="list" errorStyle="stop" operator="between">
      <formula1>"X-Linked,Autosomal_Dominant,Autosomal_Recessive"</formula1>
      <formula2>0</formula2>
    </dataValidation>
    <dataValidation sqref="B34" showErrorMessage="1" showDropDown="0" showInputMessage="1" allowBlank="1" type="whole" errorStyle="stop" operator="between">
      <formula1>2</formula1>
      <formula2>10</formula2>
    </dataValidation>
    <dataValidation sqref="G4" showErrorMessage="1" showDropDown="0" showInputMessage="1" allowBlank="1" type="list" errorStyle="stop" operator="between">
      <formula1>"carrier_female_partner"</formula1>
      <formula2>0</formula2>
    </dataValidation>
    <dataValidation sqref="H4" showErrorMessage="1" showDropDown="0" showInputMessage="1" allowBlank="1" type="list" errorStyle="stop" operator="between">
      <formula1>"Female"</formula1>
      <formula2>0</formula2>
    </dataValidation>
    <dataValidation sqref="G6" showErrorMessage="1" showDropDown="0" showInputMessage="1" allowBlank="1" type="list" errorStyle="stop" operator="between">
      <formula1>"unaffected_male_partner"</formula1>
      <formula2>0</formula2>
    </dataValidation>
    <dataValidation sqref="H6" showErrorMessage="1" showDropDown="0" showInputMessage="1" allowBlank="1" type="list" errorStyle="stop" operator="between">
      <formula1>"Male"</formula1>
      <formula2>0</formula2>
    </dataValidation>
    <dataValidation sqref="H8" showErrorMessage="1" showDropDown="0" showInputMessage="1" allowBlank="1" type="list" errorStyle="stop" operator="between">
      <formula1>"Female,Male"</formula1>
      <formula2>0</formula2>
    </dataValidation>
    <dataValidation sqref="H11" showErrorMessage="1" showDropDown="0" showInputMessage="1" allowBlank="1" type="list" errorStyle="stop" operator="between">
      <formula1>"Carrier,Affected,Unaffected"</formula1>
      <formula2>0</formula2>
    </dataValidation>
    <dataValidation sqref="H12" showErrorMessage="1" showDropDown="0" showInputMessage="1" allowBlank="1" type="list" errorStyle="stop" operator="between">
      <formula1>"Father,Mother,Son,Daughter,Embryo,Prenatal"</formula1>
      <formula2>0</formula2>
    </dataValidation>
    <dataValidation sqref="H13" showErrorMessage="1" showDropDown="0" showInputMessage="1" allowBlank="1" type="list" errorStyle="stop" operator="between">
      <formula1>"female_partner,both"</formula1>
      <formula2>0</formula2>
    </dataValidation>
    <dataValidation sqref="B14 H15 H17 M17" showErrorMessage="1" showDropDown="0" showInputMessage="1" allowBlank="1" type="list" errorStyle="stop" operator="between">
      <formula1>data_validation!$K$1:$K$2</formula1>
      <formula2>0</formula2>
    </dataValidation>
    <dataValidation sqref="L23:L47" showErrorMessage="1" showDropDown="0" showInputMessage="1" allowBlank="1" type="list" errorStyle="stop" operator="between">
      <formula1>data_validation!$J$3:$J$5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P23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26" activeCellId="0" sqref="A26"/>
    </sheetView>
  </sheetViews>
  <sheetFormatPr baseColWidth="8" defaultColWidth="9.1796875" defaultRowHeight="14.25" zeroHeight="0" outlineLevelRow="0"/>
  <cols>
    <col width="51.28" customWidth="1" style="132" min="1" max="1"/>
    <col width="10.45" customWidth="1" style="132" min="2" max="5"/>
    <col width="9.18" customWidth="1" style="132" min="6" max="7"/>
    <col width="37.82" customWidth="1" style="132" min="8" max="8"/>
    <col width="11.82" customWidth="1" style="132" min="9" max="9"/>
    <col width="12" customWidth="1" style="132" min="10" max="10"/>
    <col width="10.54" customWidth="1" style="132" min="11" max="11"/>
    <col width="11.72" customWidth="1" style="132" min="12" max="12"/>
    <col width="9.449999999999999" customWidth="1" style="132" min="13" max="13"/>
    <col width="17.45" customWidth="1" style="132" min="14" max="15"/>
    <col width="15.82" customWidth="1" style="132" min="16" max="16"/>
    <col width="9.18" customWidth="1" style="132" min="17" max="1024"/>
  </cols>
  <sheetData>
    <row r="1" ht="15" customHeight="1" s="133">
      <c r="I1" s="195" t="inlineStr">
        <is>
          <t>QC metrics</t>
        </is>
      </c>
      <c r="J1" s="135" t="n"/>
      <c r="K1" s="135" t="n"/>
      <c r="L1" s="136" t="n"/>
      <c r="M1" s="196" t="inlineStr">
        <is>
          <t>Check</t>
        </is>
      </c>
      <c r="N1" s="197" t="inlineStr">
        <is>
          <t>Scoring</t>
        </is>
      </c>
      <c r="O1" s="136" t="n"/>
    </row>
    <row r="2" ht="64.5" customHeight="1" s="133">
      <c r="A2" s="198" t="inlineStr">
        <is>
          <t>SNP array precase analysis checklist</t>
        </is>
      </c>
      <c r="B2" s="199" t="n"/>
      <c r="C2" s="199" t="n"/>
      <c r="D2" s="199" t="n"/>
      <c r="E2" s="199" t="n"/>
      <c r="F2" s="200" t="n"/>
      <c r="G2" s="201" t="inlineStr">
        <is>
          <t>PGT-M run</t>
        </is>
      </c>
      <c r="H2" s="202" t="inlineStr">
        <is>
          <t>Sample name</t>
        </is>
      </c>
      <c r="I2" s="203" t="inlineStr">
        <is>
          <t>Genotyping QC call rate ≥98.5 for gDNAs</t>
        </is>
      </c>
      <c r="J2" s="203" t="inlineStr">
        <is>
          <t>Genotyping DQC ≥0.88</t>
        </is>
      </c>
      <c r="K2" s="204" t="inlineStr">
        <is>
          <t>Copy number MAPD ≤0.28</t>
        </is>
      </c>
      <c r="L2" s="204" t="inlineStr">
        <is>
          <t>Copy number SNP QC ≥10 for gDNAs</t>
        </is>
      </c>
      <c r="M2" s="205" t="inlineStr">
        <is>
          <t>Gender from QC summary</t>
        </is>
      </c>
      <c r="N2" s="206" t="inlineStr">
        <is>
          <t>Sufficient informative SNPs (&gt;10 per 2Mb flank)
low risk</t>
        </is>
      </c>
      <c r="O2" s="206" t="inlineStr">
        <is>
          <t>Sufficient informative SNPs (&gt;10 per 2Mb flank)
high risk</t>
        </is>
      </c>
      <c r="P2" s="207" t="inlineStr">
        <is>
          <t>Comments</t>
        </is>
      </c>
    </row>
    <row r="3" ht="14.25" customHeight="1" s="133">
      <c r="A3" s="200" t="n"/>
      <c r="B3" s="208" t="inlineStr">
        <is>
          <t>Operator</t>
        </is>
      </c>
      <c r="D3" s="208" t="inlineStr">
        <is>
          <t>Reg checker</t>
        </is>
      </c>
      <c r="F3" s="200" t="n"/>
      <c r="G3" s="209" t="n"/>
      <c r="H3" s="209" t="n"/>
      <c r="I3" s="210" t="n"/>
      <c r="J3" s="210" t="n"/>
      <c r="K3" s="210" t="n"/>
      <c r="L3" s="210" t="n"/>
      <c r="M3" s="209" t="n"/>
      <c r="N3" s="211" t="n"/>
      <c r="O3" s="211" t="n"/>
      <c r="P3" s="212" t="n"/>
    </row>
    <row r="4" ht="14.25" customHeight="1" s="133">
      <c r="A4" s="213" t="inlineStr">
        <is>
          <t>Precase</t>
        </is>
      </c>
      <c r="B4" s="208" t="inlineStr">
        <is>
          <t>Initials</t>
        </is>
      </c>
      <c r="C4" s="208" t="inlineStr">
        <is>
          <t>Date</t>
        </is>
      </c>
      <c r="D4" s="208" t="inlineStr">
        <is>
          <t>Initials</t>
        </is>
      </c>
      <c r="E4" s="208" t="inlineStr">
        <is>
          <t>Date</t>
        </is>
      </c>
      <c r="F4" s="200" t="n"/>
      <c r="G4" s="209" t="n"/>
      <c r="H4" s="209" t="n"/>
      <c r="I4" s="210" t="n"/>
      <c r="J4" s="210" t="n"/>
      <c r="K4" s="210" t="n"/>
      <c r="L4" s="210" t="n"/>
      <c r="M4" s="209" t="n"/>
      <c r="N4" s="211" t="n"/>
      <c r="O4" s="211" t="n"/>
      <c r="P4" s="212" t="n"/>
    </row>
    <row r="5" ht="14.25" customHeight="1" s="133">
      <c r="A5" s="214" t="inlineStr">
        <is>
          <t>Family data entered / checked</t>
        </is>
      </c>
      <c r="B5" s="209" t="n"/>
      <c r="C5" s="215" t="n"/>
      <c r="D5" s="209" t="n"/>
      <c r="E5" s="215" t="n"/>
      <c r="F5" s="200" t="n"/>
      <c r="G5" s="209" t="n"/>
      <c r="H5" s="209" t="n"/>
      <c r="I5" s="210" t="n"/>
      <c r="J5" s="210" t="n"/>
      <c r="K5" s="210" t="n"/>
      <c r="L5" s="210" t="n"/>
      <c r="M5" s="209" t="n"/>
      <c r="N5" s="211" t="n"/>
      <c r="O5" s="211" t="n"/>
      <c r="P5" s="212" t="n"/>
    </row>
    <row r="6" ht="14.25" customHeight="1" s="133">
      <c r="A6" s="214" t="inlineStr">
        <is>
          <t>RHAS analysis completed</t>
        </is>
      </c>
      <c r="B6" s="209" t="n"/>
      <c r="C6" s="215" t="n"/>
      <c r="D6" s="216" t="n"/>
      <c r="E6" s="217" t="n"/>
      <c r="F6" s="200" t="n"/>
      <c r="G6" s="199" t="n"/>
      <c r="H6" s="199" t="n"/>
      <c r="I6" s="199" t="n"/>
      <c r="J6" s="199" t="n"/>
      <c r="K6" s="199" t="n"/>
      <c r="L6" s="200" t="n"/>
      <c r="M6" s="200" t="n"/>
    </row>
    <row r="7" ht="14.25" customHeight="1" s="133">
      <c r="A7" s="214" t="inlineStr">
        <is>
          <t>Genotypes exported from MSV (3Mb flanking)</t>
        </is>
      </c>
      <c r="B7" s="209" t="n"/>
      <c r="C7" s="215" t="n"/>
      <c r="D7" s="216" t="n"/>
      <c r="E7" s="217" t="n"/>
      <c r="F7" s="200" t="n"/>
      <c r="G7" s="199" t="n"/>
      <c r="H7" s="199" t="n"/>
      <c r="I7" s="199" t="n"/>
      <c r="J7" s="199" t="n"/>
      <c r="K7" s="199" t="n"/>
      <c r="L7" s="200" t="n"/>
      <c r="M7" s="200" t="n"/>
    </row>
    <row r="8" ht="14.25" customHeight="1" s="133">
      <c r="A8" s="214" t="inlineStr">
        <is>
          <t>Column names and input file name added / checked</t>
        </is>
      </c>
      <c r="B8" s="209" t="n"/>
      <c r="C8" s="215" t="n"/>
      <c r="D8" s="209" t="n"/>
      <c r="E8" s="215" t="n"/>
      <c r="F8" s="200" t="n"/>
      <c r="G8" s="199" t="n"/>
      <c r="H8" s="199" t="n"/>
      <c r="I8" s="199" t="n"/>
      <c r="J8" s="199" t="n"/>
      <c r="K8" s="199" t="n"/>
      <c r="L8" s="200" t="n"/>
      <c r="M8" s="200" t="n"/>
    </row>
    <row r="9" ht="14.25" customHeight="1" s="133">
      <c r="A9" s="214" t="inlineStr">
        <is>
          <t>QC metrics recorded (from QC summary table)</t>
        </is>
      </c>
      <c r="B9" s="209" t="n"/>
      <c r="C9" s="215" t="n"/>
      <c r="D9" s="216" t="n"/>
      <c r="E9" s="217" t="n"/>
      <c r="F9" s="200" t="n"/>
      <c r="G9" s="199" t="n"/>
      <c r="H9" s="199" t="n"/>
      <c r="I9" s="199" t="n"/>
      <c r="J9" s="199" t="n"/>
      <c r="K9" s="199" t="n"/>
      <c r="L9" s="200" t="n"/>
      <c r="M9" s="200" t="n"/>
    </row>
    <row r="10" ht="14.25" customHeight="1" s="133">
      <c r="A10" s="214" t="inlineStr">
        <is>
          <t>Sample gender entered / checked (from QC summary table)</t>
        </is>
      </c>
      <c r="B10" s="209" t="n"/>
      <c r="C10" s="215" t="n"/>
      <c r="D10" s="209" t="n"/>
      <c r="E10" s="215" t="n"/>
      <c r="F10" s="200" t="n"/>
      <c r="G10" s="199" t="n"/>
      <c r="H10" s="199" t="n"/>
      <c r="I10" s="199" t="n"/>
      <c r="J10" s="199" t="n"/>
      <c r="K10" s="199" t="n"/>
      <c r="L10" s="200" t="n"/>
      <c r="M10" s="200" t="n"/>
    </row>
    <row r="11" ht="14.25" customHeight="1" s="133">
      <c r="A11" s="214" t="inlineStr">
        <is>
          <t>Precase PGT-M scored / checked</t>
        </is>
      </c>
      <c r="B11" s="209" t="n"/>
      <c r="C11" s="215" t="n"/>
      <c r="D11" s="209" t="n"/>
      <c r="E11" s="215" t="n"/>
      <c r="F11" s="200" t="n"/>
      <c r="G11" s="199" t="n"/>
      <c r="H11" s="199" t="n"/>
      <c r="I11" s="199" t="n"/>
      <c r="J11" s="199" t="n"/>
      <c r="K11" s="199" t="n"/>
      <c r="L11" s="200" t="n"/>
      <c r="M11" s="200" t="n"/>
    </row>
    <row r="12" ht="14.25" customHeight="1" s="133">
      <c r="A12" s="200" t="n"/>
      <c r="B12" s="218" t="n"/>
      <c r="C12" s="219" t="n"/>
      <c r="D12" s="218" t="n"/>
      <c r="E12" s="219" t="n"/>
      <c r="F12" s="200" t="n"/>
      <c r="G12" s="199" t="n"/>
      <c r="H12" s="199" t="n"/>
      <c r="I12" s="199" t="n"/>
      <c r="J12" s="199" t="n"/>
      <c r="K12" s="199" t="n"/>
      <c r="L12" s="200" t="n"/>
      <c r="M12" s="200" t="n"/>
    </row>
    <row r="13" ht="14.25" customHeight="1" s="133">
      <c r="A13" s="200" t="n"/>
      <c r="B13" s="208" t="inlineStr">
        <is>
          <t>Operator</t>
        </is>
      </c>
      <c r="D13" s="208" t="inlineStr">
        <is>
          <t>Reg checker</t>
        </is>
      </c>
      <c r="F13" s="200" t="n"/>
      <c r="G13" s="199" t="n"/>
      <c r="H13" s="199" t="n"/>
      <c r="I13" s="199" t="n"/>
      <c r="J13" s="199" t="n"/>
      <c r="K13" s="199" t="n"/>
      <c r="L13" s="200" t="n"/>
      <c r="M13" s="200" t="n"/>
    </row>
    <row r="14" ht="14.25" customHeight="1" s="133">
      <c r="A14" s="213" t="inlineStr">
        <is>
          <t>Non-WISE reporting</t>
        </is>
      </c>
      <c r="B14" s="208" t="inlineStr">
        <is>
          <t>Initials</t>
        </is>
      </c>
      <c r="C14" s="208" t="inlineStr">
        <is>
          <t>Date</t>
        </is>
      </c>
      <c r="D14" s="208" t="inlineStr">
        <is>
          <t>Initials</t>
        </is>
      </c>
      <c r="E14" s="208" t="inlineStr">
        <is>
          <t>Date</t>
        </is>
      </c>
      <c r="F14" s="200" t="n"/>
      <c r="G14" s="199" t="n"/>
      <c r="H14" s="199" t="n"/>
      <c r="I14" s="199" t="n"/>
      <c r="J14" s="199" t="n"/>
      <c r="K14" s="199" t="n"/>
      <c r="L14" s="200" t="n"/>
      <c r="M14" s="200" t="n"/>
    </row>
    <row r="15" ht="14.25" customHeight="1" s="133">
      <c r="A15" s="214" t="inlineStr">
        <is>
          <t>BASHer results PDF generated and saved</t>
        </is>
      </c>
      <c r="B15" s="220" t="n"/>
      <c r="C15" s="220" t="n"/>
      <c r="D15" s="220" t="n"/>
      <c r="E15" s="220" t="n"/>
      <c r="F15" s="200" t="n"/>
      <c r="G15" s="199" t="n"/>
      <c r="H15" s="199" t="n"/>
      <c r="I15" s="199" t="n"/>
      <c r="J15" s="199" t="n"/>
      <c r="K15" s="199" t="n"/>
      <c r="L15" s="200" t="n"/>
      <c r="M15" s="200" t="n"/>
    </row>
    <row r="16" ht="14.25" customHeight="1" s="133">
      <c r="A16" s="214" t="inlineStr">
        <is>
          <t>GeneWorks report created / checked</t>
        </is>
      </c>
      <c r="B16" s="220" t="n"/>
      <c r="C16" s="220" t="n"/>
      <c r="D16" s="220" t="n"/>
      <c r="E16" s="220" t="n"/>
      <c r="F16" s="200" t="n"/>
      <c r="G16" s="199" t="n"/>
      <c r="H16" s="199" t="n"/>
      <c r="I16" s="199" t="n"/>
      <c r="J16" s="199" t="n"/>
      <c r="K16" s="199" t="n"/>
      <c r="L16" s="200" t="n"/>
      <c r="M16" s="200" t="n"/>
    </row>
    <row r="17" ht="14.25" customHeight="1" s="133">
      <c r="A17" s="221" t="n"/>
      <c r="B17" s="199" t="n"/>
      <c r="C17" s="199" t="n"/>
      <c r="D17" s="199" t="n"/>
      <c r="E17" s="199" t="n"/>
      <c r="F17" s="200" t="n"/>
      <c r="G17" s="199" t="n"/>
      <c r="H17" s="199" t="n"/>
      <c r="I17" s="199" t="n"/>
      <c r="J17" s="199" t="n"/>
      <c r="K17" s="199" t="n"/>
      <c r="L17" s="200" t="n"/>
      <c r="M17" s="200" t="n"/>
    </row>
    <row r="18" ht="14.25" customHeight="1" s="133">
      <c r="A18" s="221" t="n"/>
      <c r="B18" s="199" t="n"/>
      <c r="C18" s="199" t="n"/>
      <c r="D18" s="199" t="n"/>
      <c r="E18" s="199" t="n"/>
      <c r="F18" s="200" t="n"/>
      <c r="G18" s="199" t="n"/>
      <c r="H18" s="199" t="n"/>
      <c r="I18" s="199" t="n"/>
      <c r="J18" s="199" t="n"/>
      <c r="K18" s="199" t="n"/>
      <c r="L18" s="200" t="n"/>
      <c r="M18" s="200" t="n"/>
    </row>
    <row r="19" ht="14.25" customHeight="1" s="133">
      <c r="A19" s="222" t="inlineStr">
        <is>
          <t>Key</t>
        </is>
      </c>
      <c r="B19" s="199" t="n"/>
      <c r="C19" s="199" t="n"/>
      <c r="D19" s="199" t="n"/>
      <c r="E19" s="199" t="n"/>
      <c r="F19" s="200" t="n"/>
      <c r="G19" s="223" t="n"/>
      <c r="H19" s="199" t="n"/>
      <c r="I19" s="199" t="n"/>
      <c r="J19" s="199" t="n"/>
      <c r="K19" s="199" t="n"/>
      <c r="L19" s="200" t="n"/>
      <c r="M19" s="200" t="n"/>
    </row>
    <row r="20" ht="14.25" customHeight="1" s="133">
      <c r="A20" s="221" t="inlineStr">
        <is>
          <t>BASHer: Bi-Allelic SNP Haplotyper</t>
        </is>
      </c>
      <c r="B20" s="199" t="n"/>
      <c r="C20" s="199" t="n"/>
      <c r="D20" s="199" t="n"/>
      <c r="E20" s="199" t="n"/>
      <c r="F20" s="200" t="n"/>
      <c r="G20" s="199" t="n"/>
      <c r="H20" s="199" t="n"/>
      <c r="I20" s="199" t="n"/>
      <c r="J20" s="199" t="n"/>
      <c r="K20" s="199" t="n"/>
      <c r="L20" s="200" t="n"/>
      <c r="M20" s="200" t="n"/>
    </row>
    <row r="21" ht="14.25" customHeight="1" s="133">
      <c r="A21" s="224" t="n"/>
      <c r="B21" s="199" t="n"/>
      <c r="C21" s="199" t="n"/>
      <c r="D21" s="199" t="n"/>
      <c r="E21" s="199" t="n"/>
      <c r="F21" s="200" t="n"/>
      <c r="G21" s="199" t="n"/>
      <c r="H21" s="199" t="n"/>
      <c r="I21" s="199" t="n"/>
      <c r="J21" s="199" t="n"/>
      <c r="K21" s="199" t="n"/>
      <c r="L21" s="200" t="n"/>
      <c r="M21" s="200" t="n"/>
    </row>
    <row r="22" ht="14.25" customHeight="1" s="133">
      <c r="A22" s="225" t="inlineStr">
        <is>
          <t>..\..\..\..\Current\PGD\pgd results\SNP array\Genotyping data from MSV &amp; ChAS detail view exports</t>
        </is>
      </c>
      <c r="B22" s="199" t="n"/>
      <c r="C22" s="199" t="n"/>
      <c r="D22" s="199" t="n"/>
      <c r="E22" s="199" t="n"/>
      <c r="F22" s="200" t="n"/>
      <c r="G22" s="199" t="n"/>
      <c r="H22" s="199" t="n"/>
      <c r="I22" s="199" t="n"/>
      <c r="J22" s="199" t="n"/>
      <c r="K22" s="199" t="n"/>
      <c r="L22" s="200" t="n"/>
      <c r="M22" s="200" t="n"/>
    </row>
    <row r="23" ht="14.25" customHeight="1" s="133">
      <c r="A23" s="132" t="n"/>
    </row>
  </sheetData>
  <mergeCells count="6">
    <mergeCell ref="I1:L1"/>
    <mergeCell ref="N1:O1"/>
    <mergeCell ref="B3:C3"/>
    <mergeCell ref="D3:E3"/>
    <mergeCell ref="B13:C13"/>
    <mergeCell ref="D13:E13"/>
  </mergeCells>
  <hyperlinks>
    <hyperlink xmlns:r="http://schemas.openxmlformats.org/officeDocument/2006/relationships" ref="A22" display="..\..\..\..\Current\PGD\pgd results\SNP array\Genotyping data from MSV &amp; ChAS detail view exports" r:id="rId1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outlinePr summaryBelow="1" summaryRight="1"/>
    <pageSetUpPr fitToPage="0"/>
  </sheetPr>
  <dimension ref="A1:X26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B5" activeCellId="0" sqref="B5"/>
    </sheetView>
  </sheetViews>
  <sheetFormatPr baseColWidth="8" defaultColWidth="9.1796875" defaultRowHeight="14.25" zeroHeight="0" outlineLevelRow="0"/>
  <cols>
    <col width="57.27" customWidth="1" style="132" min="1" max="1"/>
    <col width="10.27" customWidth="1" style="132" min="2" max="5"/>
    <col width="9.18" customWidth="1" style="132" min="6" max="6"/>
    <col width="9.539999999999999" customWidth="1" style="132" min="7" max="7"/>
    <col width="38.73" customWidth="1" style="132" min="8" max="8"/>
    <col width="13" customWidth="1" style="132" min="9" max="9"/>
    <col width="11.27" customWidth="1" style="132" min="10" max="10"/>
    <col width="12.45" customWidth="1" style="132" min="11" max="11"/>
    <col width="14.17" customWidth="1" style="132" min="12" max="12"/>
    <col width="8.18" customWidth="1" style="132" min="13" max="13"/>
    <col width="13.45" customWidth="1" style="132" min="14" max="14"/>
    <col width="13.27" customWidth="1" style="132" min="15" max="15"/>
    <col width="6.82" customWidth="1" style="132" min="16" max="16"/>
    <col width="12.27" customWidth="1" style="132" min="17" max="17"/>
    <col width="14.17" customWidth="1" style="132" min="18" max="18"/>
    <col width="7.82" customWidth="1" style="132" min="19" max="19"/>
    <col width="9.539999999999999" customWidth="1" style="132" min="20" max="20"/>
    <col width="8.539999999999999" customWidth="1" style="132" min="21" max="21"/>
    <col width="17.55" customWidth="1" style="132" min="22" max="22"/>
    <col width="9.18" customWidth="1" style="132" min="23" max="1024"/>
  </cols>
  <sheetData>
    <row r="1" ht="15.75" customHeight="1" s="133">
      <c r="A1" s="200" t="n"/>
      <c r="B1" s="199" t="n"/>
      <c r="C1" s="199" t="n"/>
      <c r="D1" s="199" t="n"/>
      <c r="E1" s="199" t="n"/>
      <c r="F1" s="200" t="n"/>
      <c r="G1" s="199" t="n"/>
      <c r="H1" s="199" t="n"/>
      <c r="I1" s="195" t="inlineStr">
        <is>
          <t>QC metrics</t>
        </is>
      </c>
      <c r="J1" s="135" t="n"/>
      <c r="K1" s="135" t="n"/>
      <c r="L1" s="136" t="n"/>
      <c r="M1" s="226" t="inlineStr">
        <is>
          <t>XL only</t>
        </is>
      </c>
      <c r="N1" s="197" t="inlineStr">
        <is>
          <t>Scoring</t>
        </is>
      </c>
      <c r="O1" s="135" t="n"/>
      <c r="P1" s="135" t="n"/>
      <c r="Q1" s="135" t="n"/>
      <c r="R1" s="136" t="n"/>
      <c r="S1" s="227" t="inlineStr">
        <is>
          <t>Reporting</t>
        </is>
      </c>
      <c r="T1" s="135" t="n"/>
      <c r="U1" s="136" t="n"/>
      <c r="V1" s="228" t="n"/>
      <c r="W1" s="200" t="n"/>
      <c r="X1" s="200" t="n"/>
    </row>
    <row r="2" ht="51.75" customHeight="1" s="133">
      <c r="A2" s="198" t="inlineStr">
        <is>
          <t>SNP array case analysis checklist</t>
        </is>
      </c>
      <c r="B2" s="229" t="inlineStr">
        <is>
          <t>*If consanguineous, use PGT-M with LOH as Named Setting in ChAS, otherwise use PGT-M</t>
        </is>
      </c>
      <c r="F2" s="200" t="n"/>
      <c r="G2" s="201" t="inlineStr">
        <is>
          <t>PGT-M run</t>
        </is>
      </c>
      <c r="H2" s="202" t="inlineStr">
        <is>
          <t>Sample name</t>
        </is>
      </c>
      <c r="I2" s="203" t="inlineStr">
        <is>
          <t>Genotyping QC call rate 
≥97.5 for embryos</t>
        </is>
      </c>
      <c r="J2" s="203" t="inlineStr">
        <is>
          <t>Genotyping DQC ≥0.88</t>
        </is>
      </c>
      <c r="K2" s="204" t="inlineStr">
        <is>
          <t>Copy number MAPD ≤0.28</t>
        </is>
      </c>
      <c r="L2" s="204" t="inlineStr">
        <is>
          <t>Copy number SNP QC ≥7 for embryos</t>
        </is>
      </c>
      <c r="M2" s="230" t="inlineStr">
        <is>
          <t>Gender from QC metric table</t>
        </is>
      </c>
      <c r="N2" s="206" t="inlineStr">
        <is>
          <t>PGT-M results</t>
        </is>
      </c>
      <c r="O2" s="206" t="inlineStr">
        <is>
          <t>PGT-A results  Log2, BAF, Allele difference</t>
        </is>
      </c>
      <c r="P2" s="206" t="inlineStr">
        <is>
          <t>Direct test results</t>
        </is>
      </c>
      <c r="Q2" s="206" t="inlineStr">
        <is>
          <t>Manual inspection required for further SNPs</t>
        </is>
      </c>
      <c r="R2" s="231" t="inlineStr">
        <is>
          <t>Embryo status</t>
        </is>
      </c>
      <c r="S2" s="232" t="inlineStr">
        <is>
          <t>Embryo</t>
        </is>
      </c>
      <c r="T2" s="232" t="inlineStr">
        <is>
          <t>Biopsy diagnosis</t>
        </is>
      </c>
      <c r="U2" s="233" t="inlineStr">
        <is>
          <t>Suitable for transfer</t>
        </is>
      </c>
      <c r="V2" s="234" t="inlineStr">
        <is>
          <t>Comments</t>
        </is>
      </c>
      <c r="W2" s="200" t="n"/>
      <c r="X2" s="200" t="n"/>
    </row>
    <row r="3" ht="14.25" customHeight="1" s="133">
      <c r="A3" s="221" t="n"/>
      <c r="B3" s="208" t="inlineStr">
        <is>
          <t>Operator</t>
        </is>
      </c>
      <c r="D3" s="208" t="inlineStr">
        <is>
          <t>Reg checker</t>
        </is>
      </c>
      <c r="F3" s="200" t="n"/>
      <c r="G3" s="209" t="n"/>
      <c r="H3" s="235" t="n"/>
      <c r="I3" s="210" t="n"/>
      <c r="J3" s="210" t="n"/>
      <c r="K3" s="210" t="n"/>
      <c r="L3" s="210" t="n"/>
      <c r="M3" s="236" t="n"/>
      <c r="N3" s="237" t="n"/>
      <c r="O3" s="237" t="n"/>
      <c r="P3" s="237" t="n"/>
      <c r="Q3" s="238" t="n"/>
      <c r="R3" s="239" t="n"/>
      <c r="S3" s="240">
        <f>SUBSTITUTE(MID(H3,10,3),"_","")</f>
        <v/>
      </c>
      <c r="T3" s="240">
        <f>IFERROR(IF(R3="","",R3),"")</f>
        <v/>
      </c>
      <c r="U3" s="241">
        <f>IF(T3="Unaffected","Yes",IF(T3="Carrier","Yes",IF(T3="Affected","No",IF(T3="Abnormal","No",IF(T3="Undetermined","No","")))))</f>
        <v/>
      </c>
      <c r="V3" s="242" t="n"/>
      <c r="W3" s="200" t="n"/>
      <c r="X3" s="200" t="n"/>
    </row>
    <row r="4" ht="14.25" customHeight="1" s="133">
      <c r="A4" s="213" t="inlineStr">
        <is>
          <t>Case</t>
        </is>
      </c>
      <c r="B4" s="208" t="inlineStr">
        <is>
          <t>Initials</t>
        </is>
      </c>
      <c r="C4" s="208" t="inlineStr">
        <is>
          <t>Date</t>
        </is>
      </c>
      <c r="D4" s="208" t="inlineStr">
        <is>
          <t>Initials</t>
        </is>
      </c>
      <c r="E4" s="208" t="inlineStr">
        <is>
          <t>Date</t>
        </is>
      </c>
      <c r="F4" s="200" t="n"/>
      <c r="G4" s="209" t="n"/>
      <c r="H4" s="209" t="n"/>
      <c r="I4" s="210" t="n"/>
      <c r="J4" s="210" t="n"/>
      <c r="K4" s="210" t="n"/>
      <c r="L4" s="210" t="n"/>
      <c r="M4" s="236" t="n"/>
      <c r="N4" s="237" t="n"/>
      <c r="O4" s="237" t="n"/>
      <c r="P4" s="237" t="n"/>
      <c r="Q4" s="238" t="n"/>
      <c r="R4" s="239" t="n"/>
      <c r="S4" s="240">
        <f>SUBSTITUTE(MID(H4,10,3),"_","")</f>
        <v/>
      </c>
      <c r="T4" s="240">
        <f>IFERROR(IF(R4="","",R4),"")</f>
        <v/>
      </c>
      <c r="U4" s="241">
        <f>IF(T4="Unaffected","Yes",IF(T4="Carrier","Yes",IF(T4="Affected","No",IF(T4="Abnormal","No",IF(T4="Undetermined","No","")))))</f>
        <v/>
      </c>
      <c r="V4" s="242" t="n"/>
      <c r="W4" s="200" t="n"/>
      <c r="X4" s="200" t="n"/>
    </row>
    <row r="5" ht="14.25" customHeight="1" s="133">
      <c r="A5" s="214" t="inlineStr">
        <is>
          <t>RHAS analysis completed</t>
        </is>
      </c>
      <c r="B5" s="209" t="n"/>
      <c r="C5" s="215" t="n"/>
      <c r="D5" s="216" t="n"/>
      <c r="E5" s="217" t="n"/>
      <c r="F5" s="200" t="n"/>
      <c r="G5" s="209" t="n"/>
      <c r="H5" s="209" t="n"/>
      <c r="I5" s="210" t="n"/>
      <c r="J5" s="210" t="n"/>
      <c r="K5" s="210" t="n"/>
      <c r="L5" s="210" t="n"/>
      <c r="M5" s="236" t="n"/>
      <c r="N5" s="237" t="n"/>
      <c r="O5" s="237" t="n"/>
      <c r="P5" s="237" t="n"/>
      <c r="Q5" s="238" t="n"/>
      <c r="R5" s="239" t="n"/>
      <c r="S5" s="240">
        <f>SUBSTITUTE(MID(H5,10,3),"_","")</f>
        <v/>
      </c>
      <c r="T5" s="240">
        <f>IFERROR(IF(R5="","",R5),"")</f>
        <v/>
      </c>
      <c r="U5" s="241">
        <f>IF(T5="Unaffected","Yes",IF(T5="Carrier","Yes",IF(T5="Affected","No",IF(T5="Abnormal","No",IF(T5="Undetermined","No","")))))</f>
        <v/>
      </c>
      <c r="V5" s="242" t="n"/>
      <c r="W5" s="200" t="n"/>
      <c r="X5" s="200" t="n"/>
    </row>
    <row r="6" ht="14.25" customHeight="1" s="133">
      <c r="A6" s="214" t="inlineStr">
        <is>
          <t>Column names added / checked</t>
        </is>
      </c>
      <c r="B6" s="209" t="n"/>
      <c r="C6" s="215" t="n"/>
      <c r="D6" s="209" t="n"/>
      <c r="E6" s="215" t="n"/>
      <c r="F6" s="200" t="n"/>
      <c r="G6" s="209" t="n"/>
      <c r="H6" s="209" t="n"/>
      <c r="I6" s="210" t="n"/>
      <c r="J6" s="210" t="n"/>
      <c r="K6" s="210" t="n"/>
      <c r="L6" s="210" t="n"/>
      <c r="M6" s="236" t="n"/>
      <c r="N6" s="237" t="n"/>
      <c r="O6" s="237" t="n"/>
      <c r="P6" s="237" t="n"/>
      <c r="Q6" s="243" t="n"/>
      <c r="R6" s="239" t="n"/>
      <c r="S6" s="240">
        <f>SUBSTITUTE(MID(H6,10,3),"_","")</f>
        <v/>
      </c>
      <c r="T6" s="240">
        <f>IFERROR(IF(R6="","",R6),"")</f>
        <v/>
      </c>
      <c r="U6" s="241">
        <f>IF(T6="Unaffected","Yes",IF(T6="Carrier","Yes",IF(T6="Affected","No",IF(T6="Abnormal","No",IF(T6="Undetermined","No","")))))</f>
        <v/>
      </c>
      <c r="V6" s="242" t="n"/>
      <c r="W6" s="200" t="n"/>
      <c r="X6" s="200" t="n"/>
    </row>
    <row r="7" ht="14.25" customHeight="1" s="133">
      <c r="A7" s="214" t="inlineStr">
        <is>
          <t>Genotypes exported from MSV (3Mb flanking)</t>
        </is>
      </c>
      <c r="B7" s="209" t="n"/>
      <c r="C7" s="215" t="n"/>
      <c r="D7" s="216" t="n"/>
      <c r="E7" s="217" t="n"/>
      <c r="F7" s="200" t="n"/>
      <c r="G7" s="209" t="n"/>
      <c r="H7" s="209" t="n"/>
      <c r="I7" s="210" t="n"/>
      <c r="J7" s="210" t="n"/>
      <c r="K7" s="210" t="n"/>
      <c r="L7" s="210" t="n"/>
      <c r="M7" s="236" t="n"/>
      <c r="N7" s="237" t="n"/>
      <c r="O7" s="237" t="n"/>
      <c r="P7" s="237" t="n"/>
      <c r="Q7" s="243" t="n"/>
      <c r="R7" s="239" t="n"/>
      <c r="S7" s="240">
        <f>SUBSTITUTE(MID(H7,10,3),"_","")</f>
        <v/>
      </c>
      <c r="T7" s="240">
        <f>IFERROR(IF(R7="","",R7),"")</f>
        <v/>
      </c>
      <c r="U7" s="241">
        <f>IF(T7="Unaffected","Yes",IF(T7="Carrier","Yes",IF(T7="Affected","No",IF(T7="Abnormal","No",IF(T7="Undetermined","No","")))))</f>
        <v/>
      </c>
      <c r="V7" s="242" t="n"/>
      <c r="W7" s="200" t="n"/>
      <c r="X7" s="200" t="n"/>
    </row>
    <row r="8" ht="14.25" customHeight="1" s="133">
      <c r="A8" s="214" t="inlineStr">
        <is>
          <t>QC metrics recorded (and embryo gender for XL only)</t>
        </is>
      </c>
      <c r="B8" s="209" t="n"/>
      <c r="C8" s="215" t="n"/>
      <c r="D8" s="216" t="n"/>
      <c r="E8" s="217" t="n"/>
      <c r="F8" s="200" t="n"/>
      <c r="G8" s="209" t="n"/>
      <c r="H8" s="209" t="n"/>
      <c r="I8" s="210" t="n"/>
      <c r="J8" s="210" t="n"/>
      <c r="K8" s="210" t="n"/>
      <c r="L8" s="210" t="n"/>
      <c r="M8" s="236" t="n"/>
      <c r="N8" s="237" t="n"/>
      <c r="O8" s="237" t="n"/>
      <c r="P8" s="237" t="n"/>
      <c r="Q8" s="243" t="n"/>
      <c r="R8" s="239" t="n"/>
      <c r="S8" s="240">
        <f>SUBSTITUTE(MID(H8,10,3),"_","")</f>
        <v/>
      </c>
      <c r="T8" s="240">
        <f>IFERROR(IF(R8="","",R8),"")</f>
        <v/>
      </c>
      <c r="U8" s="241">
        <f>IF(T8="Unaffected","Yes",IF(T8="Carrier","Yes",IF(T8="Affected","No",IF(T8="Abnormal","No",IF(T8="Undetermined","No","")))))</f>
        <v/>
      </c>
      <c r="V8" s="242" t="n"/>
      <c r="W8" s="200" t="n"/>
      <c r="X8" s="200" t="n"/>
    </row>
    <row r="9" ht="14.25" customHeight="1" s="133">
      <c r="A9" s="214" t="inlineStr">
        <is>
          <t>PGT-A scored in ChAS*, results entered &amp; PDF exported / checked</t>
        </is>
      </c>
      <c r="B9" s="209" t="n"/>
      <c r="C9" s="215" t="n"/>
      <c r="D9" s="209" t="n"/>
      <c r="E9" s="215" t="n"/>
      <c r="F9" s="200" t="n"/>
      <c r="G9" s="209" t="n"/>
      <c r="H9" s="209" t="n"/>
      <c r="I9" s="210" t="n"/>
      <c r="J9" s="210" t="n"/>
      <c r="K9" s="210" t="n"/>
      <c r="L9" s="210" t="n"/>
      <c r="M9" s="236" t="n"/>
      <c r="N9" s="237" t="n"/>
      <c r="O9" s="237" t="n"/>
      <c r="P9" s="237" t="n"/>
      <c r="Q9" s="243" t="n"/>
      <c r="R9" s="239" t="n"/>
      <c r="S9" s="240">
        <f>SUBSTITUTE(MID(H9,10,3),"_","")</f>
        <v/>
      </c>
      <c r="T9" s="240">
        <f>IFERROR(IF(R9="","",R9),"")</f>
        <v/>
      </c>
      <c r="U9" s="241">
        <f>IF(T9="Unaffected","Yes",IF(T9="Carrier","Yes",IF(T9="Affected","No",IF(T9="Abnormal","No",IF(T9="Undetermined","No","")))))</f>
        <v/>
      </c>
      <c r="V9" s="242" t="n"/>
      <c r="W9" s="200" t="n"/>
      <c r="X9" s="200" t="n"/>
    </row>
    <row r="10" ht="14.25" customHeight="1" s="133">
      <c r="A10" s="214" t="inlineStr">
        <is>
          <t>PGT-M scored &amp; results entered / checked</t>
        </is>
      </c>
      <c r="B10" s="209" t="n"/>
      <c r="C10" s="215" t="n"/>
      <c r="D10" s="209" t="n"/>
      <c r="E10" s="215" t="n"/>
      <c r="F10" s="200" t="n"/>
      <c r="G10" s="209" t="n"/>
      <c r="H10" s="209" t="n"/>
      <c r="I10" s="210" t="n"/>
      <c r="J10" s="210" t="n"/>
      <c r="K10" s="210" t="n"/>
      <c r="L10" s="210" t="n"/>
      <c r="M10" s="236" t="n"/>
      <c r="N10" s="237" t="n"/>
      <c r="O10" s="237" t="n"/>
      <c r="P10" s="237" t="n"/>
      <c r="Q10" s="243" t="n"/>
      <c r="R10" s="239" t="n"/>
      <c r="S10" s="240">
        <f>SUBSTITUTE(MID(H10,10,3),"_","")</f>
        <v/>
      </c>
      <c r="T10" s="240">
        <f>IFERROR(IF(R10="","",R10),"")</f>
        <v/>
      </c>
      <c r="U10" s="241">
        <f>IF(T10="Unaffected","Yes",IF(T10="Carrier","Yes",IF(T10="Affected","No",IF(T10="Abnormal","No",IF(T10="Undetermined","No","")))))</f>
        <v/>
      </c>
      <c r="V10" s="242" t="n"/>
      <c r="W10" s="200" t="n"/>
      <c r="X10" s="200" t="n"/>
    </row>
    <row r="11" ht="14.25" customHeight="1" s="133">
      <c r="A11" s="200" t="n"/>
      <c r="B11" s="199" t="n"/>
      <c r="C11" s="199" t="n"/>
      <c r="D11" s="199" t="n"/>
      <c r="E11" s="199" t="n"/>
      <c r="F11" s="200" t="n"/>
      <c r="G11" s="209" t="n"/>
      <c r="H11" s="209" t="n"/>
      <c r="I11" s="210" t="n"/>
      <c r="J11" s="210" t="n"/>
      <c r="K11" s="210" t="n"/>
      <c r="L11" s="210" t="n"/>
      <c r="M11" s="236" t="n"/>
      <c r="N11" s="237" t="n"/>
      <c r="O11" s="237" t="n"/>
      <c r="P11" s="237" t="n"/>
      <c r="Q11" s="243" t="n"/>
      <c r="R11" s="239" t="n"/>
      <c r="S11" s="240">
        <f>SUBSTITUTE(MID(H11,10,3),"_","")</f>
        <v/>
      </c>
      <c r="T11" s="240">
        <f>IFERROR(IF(R11="","",R11),"")</f>
        <v/>
      </c>
      <c r="U11" s="241">
        <f>IF(T11="Unaffected","Yes",IF(T11="Carrier","Yes",IF(T11="Affected","No",IF(T11="Abnormal","No",IF(T11="Undetermined","No","")))))</f>
        <v/>
      </c>
      <c r="V11" s="242" t="n"/>
      <c r="W11" s="200" t="n"/>
      <c r="X11" s="200" t="n"/>
    </row>
    <row r="12" ht="14.25" customHeight="1" s="133">
      <c r="A12" s="200" t="n"/>
      <c r="B12" s="208" t="inlineStr">
        <is>
          <t>First scorer</t>
        </is>
      </c>
      <c r="D12" s="208" t="inlineStr">
        <is>
          <t>Reg scorer</t>
        </is>
      </c>
      <c r="F12" s="200" t="n"/>
      <c r="G12" s="209" t="n"/>
      <c r="H12" s="209" t="n"/>
      <c r="I12" s="210" t="n"/>
      <c r="J12" s="210" t="n"/>
      <c r="K12" s="210" t="n"/>
      <c r="L12" s="210" t="n"/>
      <c r="M12" s="236" t="n"/>
      <c r="N12" s="237" t="n"/>
      <c r="O12" s="237" t="n"/>
      <c r="P12" s="237" t="n"/>
      <c r="Q12" s="243" t="n"/>
      <c r="R12" s="239" t="n"/>
      <c r="S12" s="240">
        <f>SUBSTITUTE(MID(H12,10,3),"_","")</f>
        <v/>
      </c>
      <c r="T12" s="240">
        <f>IFERROR(IF(R12="","",R12),"")</f>
        <v/>
      </c>
      <c r="U12" s="241">
        <f>IF(T12="Unaffected","Yes",IF(T12="Carrier","Yes",IF(T12="Affected","No",IF(T12="Abnormal","No",IF(T12="Undetermined","No","")))))</f>
        <v/>
      </c>
      <c r="V12" s="242" t="n"/>
      <c r="W12" s="200" t="n"/>
      <c r="X12" s="200" t="n"/>
    </row>
    <row r="13" ht="14.25" customHeight="1" s="133">
      <c r="A13" s="213" t="inlineStr">
        <is>
          <t>Reporting</t>
        </is>
      </c>
      <c r="B13" s="208" t="inlineStr">
        <is>
          <t>Initials</t>
        </is>
      </c>
      <c r="C13" s="208" t="inlineStr">
        <is>
          <t>Date</t>
        </is>
      </c>
      <c r="D13" s="208" t="inlineStr">
        <is>
          <t>Initials</t>
        </is>
      </c>
      <c r="E13" s="208" t="inlineStr">
        <is>
          <t>Date</t>
        </is>
      </c>
      <c r="F13" s="200" t="n"/>
      <c r="G13" s="209" t="n"/>
      <c r="H13" s="209" t="n"/>
      <c r="I13" s="210" t="n"/>
      <c r="J13" s="210" t="n"/>
      <c r="K13" s="210" t="n"/>
      <c r="L13" s="210" t="n"/>
      <c r="M13" s="236" t="n"/>
      <c r="N13" s="237" t="n"/>
      <c r="O13" s="237" t="n"/>
      <c r="P13" s="237" t="n"/>
      <c r="Q13" s="243" t="n"/>
      <c r="R13" s="239" t="n"/>
      <c r="S13" s="240">
        <f>SUBSTITUTE(MID(H13,10,3),"_","")</f>
        <v/>
      </c>
      <c r="T13" s="240">
        <f>IFERROR(IF(R13="","",R13),"")</f>
        <v/>
      </c>
      <c r="U13" s="241">
        <f>IF(T13="Unaffected","Yes",IF(T13="Carrier","Yes",IF(T13="Affected","No",IF(T13="Abnormal","No",IF(T13="Undetermined","No","")))))</f>
        <v/>
      </c>
      <c r="V13" s="242" t="n"/>
      <c r="W13" s="200" t="n"/>
      <c r="X13" s="200" t="n"/>
    </row>
    <row r="14" ht="14.25" customHeight="1" s="133">
      <c r="A14" s="214" t="inlineStr">
        <is>
          <t>BASH results PDF generated and saved</t>
        </is>
      </c>
      <c r="B14" s="209" t="n"/>
      <c r="C14" s="215" t="n"/>
      <c r="D14" s="220" t="n"/>
      <c r="E14" s="220" t="n"/>
      <c r="F14" s="200" t="n"/>
      <c r="G14" s="209" t="n"/>
      <c r="H14" s="209" t="n"/>
      <c r="I14" s="210" t="n"/>
      <c r="J14" s="210" t="n"/>
      <c r="K14" s="210" t="n"/>
      <c r="L14" s="210" t="n"/>
      <c r="M14" s="236" t="n"/>
      <c r="N14" s="237" t="n"/>
      <c r="O14" s="237" t="n"/>
      <c r="P14" s="237" t="n"/>
      <c r="Q14" s="243" t="n"/>
      <c r="R14" s="239" t="n"/>
      <c r="S14" s="240">
        <f>SUBSTITUTE(MID(H14,10,3),"_","")</f>
        <v/>
      </c>
      <c r="T14" s="240">
        <f>IFERROR(IF(R14="","",R14),"")</f>
        <v/>
      </c>
      <c r="U14" s="241">
        <f>IF(T14="Unaffected","Yes",IF(T14="Carrier","Yes",IF(T14="Affected","No",IF(T14="Abnormal","No",IF(T14="Undetermined","No","")))))</f>
        <v/>
      </c>
      <c r="V14" s="242" t="n"/>
      <c r="W14" s="200" t="n"/>
      <c r="X14" s="200" t="n"/>
    </row>
    <row r="15" ht="14.25" customHeight="1" s="133">
      <c r="A15" s="244" t="inlineStr">
        <is>
          <t>GeneWorks report created / checked</t>
        </is>
      </c>
      <c r="B15" s="209" t="n"/>
      <c r="C15" s="215" t="n"/>
      <c r="D15" s="220" t="n"/>
      <c r="E15" s="220" t="n"/>
      <c r="F15" s="200" t="n"/>
      <c r="G15" s="209" t="n"/>
      <c r="H15" s="209" t="n"/>
      <c r="I15" s="210" t="n"/>
      <c r="J15" s="210" t="n"/>
      <c r="K15" s="210" t="n"/>
      <c r="L15" s="210" t="n"/>
      <c r="M15" s="236" t="n"/>
      <c r="N15" s="237" t="n"/>
      <c r="O15" s="237" t="n"/>
      <c r="P15" s="237" t="n"/>
      <c r="Q15" s="238" t="n"/>
      <c r="R15" s="239" t="n"/>
      <c r="S15" s="240">
        <f>SUBSTITUTE(MID(H15,10,3),"_","")</f>
        <v/>
      </c>
      <c r="T15" s="240">
        <f>IFERROR(IF(R15="","",R15),"")</f>
        <v/>
      </c>
      <c r="U15" s="241">
        <f>IF(T15="Unaffected","Yes",IF(T15="Carrier","Yes",IF(T15="Affected","No",IF(T15="Abnormal","No",IF(T15="Undetermined","No","")))))</f>
        <v/>
      </c>
      <c r="V15" s="242" t="n"/>
      <c r="W15" s="200" t="n"/>
      <c r="X15" s="200" t="n"/>
    </row>
    <row r="16" ht="14.25" customHeight="1" s="133">
      <c r="A16" s="200" t="n"/>
      <c r="B16" s="199" t="n"/>
      <c r="C16" s="199" t="n"/>
      <c r="D16" s="199" t="n"/>
      <c r="E16" s="199" t="n"/>
      <c r="F16" s="200" t="n"/>
      <c r="G16" s="209" t="n"/>
      <c r="H16" s="209" t="n"/>
      <c r="I16" s="210" t="n"/>
      <c r="J16" s="210" t="n"/>
      <c r="K16" s="210" t="n"/>
      <c r="L16" s="210" t="n"/>
      <c r="M16" s="236" t="n"/>
      <c r="N16" s="237" t="n"/>
      <c r="O16" s="237" t="n"/>
      <c r="P16" s="237" t="n"/>
      <c r="Q16" s="238" t="n"/>
      <c r="R16" s="239" t="n"/>
      <c r="S16" s="240">
        <f>SUBSTITUTE(MID(H16,10,3),"_","")</f>
        <v/>
      </c>
      <c r="T16" s="240">
        <f>IFERROR(IF(R16="","",R16),"")</f>
        <v/>
      </c>
      <c r="U16" s="241">
        <f>IF(T16="Unaffected","Yes",IF(T16="Carrier","Yes",IF(T16="Affected","No",IF(T16="Abnormal","No",IF(T16="Undetermined","No","")))))</f>
        <v/>
      </c>
      <c r="V16" s="242" t="n"/>
      <c r="W16" s="200" t="n"/>
      <c r="X16" s="200" t="n"/>
    </row>
    <row r="17" ht="14.25" customHeight="1" s="133">
      <c r="A17" s="200" t="n"/>
      <c r="B17" s="199" t="n"/>
      <c r="C17" s="199" t="n"/>
      <c r="D17" s="199" t="n"/>
      <c r="E17" s="199" t="n"/>
      <c r="F17" s="200" t="n"/>
      <c r="G17" s="199" t="n"/>
      <c r="H17" s="199" t="n"/>
      <c r="I17" s="199" t="n"/>
      <c r="J17" s="199" t="n"/>
      <c r="K17" s="199" t="n"/>
      <c r="L17" s="199" t="n"/>
      <c r="M17" s="199" t="n"/>
      <c r="N17" s="199" t="n"/>
      <c r="O17" s="199" t="n"/>
      <c r="P17" s="199" t="n"/>
      <c r="Q17" s="199" t="n"/>
      <c r="R17" s="199" t="n"/>
      <c r="S17" s="199" t="n"/>
      <c r="T17" s="199" t="n"/>
      <c r="U17" s="199" t="n"/>
      <c r="V17" s="200" t="n"/>
      <c r="W17" s="200" t="n"/>
      <c r="X17" s="200" t="n"/>
    </row>
    <row r="18" ht="14.25" customHeight="1" s="133">
      <c r="A18" s="222" t="inlineStr">
        <is>
          <t>Key</t>
        </is>
      </c>
      <c r="B18" s="199" t="n"/>
      <c r="C18" s="199" t="n"/>
      <c r="D18" s="199" t="n"/>
      <c r="E18" s="199" t="n"/>
      <c r="F18" s="200" t="n"/>
      <c r="G18" s="199" t="n"/>
      <c r="H18" s="199" t="n"/>
      <c r="I18" s="199" t="n"/>
      <c r="J18" s="199" t="n"/>
      <c r="K18" s="199" t="n"/>
      <c r="L18" s="199" t="n"/>
      <c r="M18" s="199" t="n"/>
      <c r="N18" s="199" t="n"/>
      <c r="O18" s="199" t="n"/>
      <c r="P18" s="199" t="n"/>
      <c r="Q18" s="199" t="n"/>
      <c r="R18" s="199" t="n"/>
      <c r="S18" s="199" t="n"/>
      <c r="T18" s="199" t="n"/>
      <c r="U18" s="199" t="n"/>
      <c r="V18" s="200" t="n"/>
      <c r="W18" s="200" t="n"/>
      <c r="X18" s="200" t="n"/>
    </row>
    <row r="19" ht="14.25" customHeight="1" s="133">
      <c r="A19" s="221" t="inlineStr">
        <is>
          <t>BASHer: Bi-Allelic SNP Haplotyper</t>
        </is>
      </c>
      <c r="B19" s="199" t="n"/>
      <c r="C19" s="199" t="n"/>
      <c r="D19" s="199" t="n"/>
      <c r="E19" s="199" t="n"/>
      <c r="F19" s="200" t="n"/>
      <c r="G19" s="223" t="n"/>
      <c r="H19" s="199" t="n"/>
      <c r="I19" s="199" t="n"/>
      <c r="J19" s="199" t="n"/>
      <c r="K19" s="199" t="n"/>
      <c r="L19" s="199" t="n"/>
      <c r="M19" s="199" t="n"/>
      <c r="N19" s="199" t="n"/>
      <c r="O19" s="199" t="n"/>
      <c r="P19" s="199" t="n"/>
      <c r="Q19" s="199" t="n"/>
      <c r="R19" s="199" t="n"/>
      <c r="S19" s="199" t="n"/>
      <c r="T19" s="199" t="n"/>
      <c r="U19" s="199" t="n"/>
      <c r="V19" s="200" t="n"/>
      <c r="W19" s="200" t="n"/>
      <c r="X19" s="200" t="n"/>
    </row>
    <row r="20" ht="14.25" customHeight="1" s="133">
      <c r="A20" s="224" t="n"/>
      <c r="B20" s="199" t="n"/>
      <c r="C20" s="199" t="n"/>
      <c r="D20" s="199" t="n"/>
      <c r="E20" s="199" t="n"/>
      <c r="F20" s="200" t="n"/>
      <c r="G20" s="199" t="n"/>
      <c r="H20" s="199" t="n"/>
      <c r="I20" s="199" t="n"/>
      <c r="J20" s="199" t="n"/>
      <c r="K20" s="199" t="n"/>
      <c r="L20" s="199" t="n"/>
      <c r="M20" s="199" t="n"/>
      <c r="N20" s="199" t="n"/>
      <c r="O20" s="199" t="n"/>
      <c r="P20" s="199" t="n"/>
      <c r="Q20" s="199" t="n"/>
      <c r="R20" s="199" t="n"/>
      <c r="S20" s="199" t="n"/>
      <c r="T20" s="199" t="n"/>
      <c r="U20" s="199" t="n"/>
      <c r="V20" s="200" t="n"/>
      <c r="W20" s="200" t="n"/>
      <c r="X20" s="200" t="n"/>
    </row>
    <row r="21" ht="14.25" customHeight="1" s="133">
      <c r="A21" s="225" t="inlineStr">
        <is>
          <t>..\..\..\..\Current\PGD\pgd results\SNP array\Genotyping data from MSV &amp; ChAS detail view exports</t>
        </is>
      </c>
      <c r="B21" s="199" t="n"/>
      <c r="C21" s="199" t="n"/>
      <c r="D21" s="199" t="n"/>
      <c r="E21" s="199" t="n"/>
      <c r="F21" s="200" t="n"/>
      <c r="G21" s="199" t="n"/>
      <c r="H21" s="199" t="n"/>
      <c r="I21" s="199" t="n"/>
      <c r="J21" s="199" t="n"/>
      <c r="K21" s="199" t="n"/>
      <c r="L21" s="199" t="n"/>
      <c r="M21" s="199" t="n"/>
      <c r="N21" s="199" t="n"/>
      <c r="O21" s="199" t="n"/>
      <c r="P21" s="199" t="n"/>
      <c r="Q21" s="199" t="n"/>
      <c r="R21" s="199" t="n"/>
      <c r="S21" s="199" t="n"/>
      <c r="T21" s="199" t="n"/>
      <c r="U21" s="199" t="n"/>
      <c r="V21" s="200" t="n"/>
      <c r="W21" s="200" t="n"/>
      <c r="X21" s="200" t="n"/>
    </row>
    <row r="22" ht="14.25" customHeight="1" s="133">
      <c r="A22" s="224" t="n"/>
      <c r="B22" s="199" t="n"/>
      <c r="C22" s="199" t="n"/>
      <c r="D22" s="199" t="n"/>
      <c r="E22" s="199" t="n"/>
      <c r="F22" s="200" t="n"/>
      <c r="G22" s="199" t="n"/>
      <c r="H22" s="199" t="n"/>
      <c r="I22" s="199" t="n"/>
      <c r="J22" s="199" t="n"/>
      <c r="K22" s="199" t="n"/>
      <c r="L22" s="199" t="n"/>
      <c r="M22" s="199" t="n"/>
      <c r="N22" s="199" t="n"/>
      <c r="O22" s="199" t="n"/>
      <c r="P22" s="199" t="n"/>
      <c r="Q22" s="199" t="n"/>
      <c r="R22" s="199" t="n"/>
      <c r="S22" s="199" t="n"/>
      <c r="T22" s="199" t="n"/>
      <c r="U22" s="199" t="n"/>
      <c r="V22" s="200" t="n"/>
      <c r="W22" s="200" t="n"/>
      <c r="X22" s="200" t="n"/>
    </row>
    <row r="23" ht="14.25" customHeight="1" s="133">
      <c r="A23" s="224" t="n"/>
      <c r="B23" s="224" t="n"/>
      <c r="C23" s="199" t="n"/>
      <c r="D23" s="199" t="n"/>
      <c r="E23" s="199" t="n"/>
      <c r="F23" s="200" t="n"/>
      <c r="G23" s="199" t="n"/>
      <c r="H23" s="199" t="n"/>
      <c r="I23" s="199" t="n"/>
      <c r="J23" s="199" t="n"/>
      <c r="K23" s="199" t="n"/>
      <c r="L23" s="199" t="n"/>
      <c r="M23" s="199" t="n"/>
      <c r="N23" s="199" t="n"/>
      <c r="O23" s="199" t="n"/>
      <c r="P23" s="199" t="n"/>
      <c r="Q23" s="199" t="n"/>
      <c r="R23" s="199" t="n"/>
      <c r="S23" s="199" t="n"/>
      <c r="T23" s="199" t="n"/>
      <c r="U23" s="199" t="n"/>
      <c r="V23" s="200" t="n"/>
      <c r="W23" s="200" t="n"/>
      <c r="X23" s="200" t="n"/>
    </row>
    <row r="24" ht="14.25" customHeight="1" s="133">
      <c r="A24" s="200" t="n"/>
      <c r="B24" s="245" t="n"/>
      <c r="C24" s="199" t="n"/>
      <c r="D24" s="199" t="n"/>
      <c r="E24" s="199" t="n"/>
      <c r="F24" s="200" t="n"/>
      <c r="G24" s="199" t="n"/>
      <c r="H24" s="199" t="n"/>
      <c r="I24" s="199" t="n"/>
      <c r="J24" s="199" t="n"/>
      <c r="K24" s="199" t="n"/>
      <c r="L24" s="199" t="n"/>
      <c r="M24" s="199" t="n"/>
      <c r="N24" s="199" t="n"/>
      <c r="O24" s="199" t="n"/>
      <c r="P24" s="199" t="n"/>
      <c r="Q24" s="199" t="n"/>
      <c r="R24" s="199" t="n"/>
      <c r="S24" s="199" t="n"/>
      <c r="T24" s="199" t="n"/>
      <c r="U24" s="199" t="n"/>
      <c r="V24" s="200" t="n"/>
      <c r="W24" s="200" t="n"/>
      <c r="X24" s="200" t="n"/>
    </row>
    <row r="25" ht="14.25" customHeight="1" s="133">
      <c r="A25" s="200" t="n"/>
      <c r="B25" s="199" t="n"/>
      <c r="C25" s="199" t="n"/>
      <c r="D25" s="199" t="n"/>
      <c r="E25" s="199" t="n"/>
      <c r="F25" s="200" t="n"/>
      <c r="G25" s="199" t="n"/>
      <c r="H25" s="199" t="n"/>
      <c r="I25" s="199" t="n"/>
      <c r="J25" s="199" t="n"/>
      <c r="K25" s="199" t="n"/>
      <c r="L25" s="199" t="n"/>
      <c r="M25" s="199" t="n"/>
      <c r="N25" s="199" t="n"/>
      <c r="O25" s="199" t="n"/>
      <c r="P25" s="199" t="n"/>
      <c r="Q25" s="199" t="n"/>
      <c r="R25" s="199" t="n"/>
      <c r="S25" s="199" t="n"/>
      <c r="T25" s="199" t="n"/>
      <c r="U25" s="199" t="n"/>
      <c r="V25" s="200" t="n"/>
      <c r="W25" s="200" t="n"/>
      <c r="X25" s="200" t="n"/>
    </row>
    <row r="26" ht="14.25" customHeight="1" s="133">
      <c r="A26" s="200" t="n"/>
      <c r="B26" s="199" t="n"/>
      <c r="C26" s="199" t="n"/>
      <c r="D26" s="199" t="n"/>
      <c r="E26" s="199" t="n"/>
      <c r="F26" s="200" t="n"/>
      <c r="G26" s="199" t="n"/>
      <c r="H26" s="199" t="n"/>
      <c r="I26" s="199" t="n"/>
      <c r="J26" s="199" t="n"/>
      <c r="K26" s="199" t="n"/>
      <c r="L26" s="199" t="n"/>
      <c r="M26" s="199" t="n"/>
      <c r="N26" s="199" t="n"/>
      <c r="O26" s="199" t="n"/>
      <c r="P26" s="199" t="n"/>
      <c r="Q26" s="199" t="n"/>
      <c r="R26" s="199" t="n"/>
      <c r="S26" s="199" t="n"/>
      <c r="T26" s="199" t="n"/>
      <c r="U26" s="199" t="n"/>
      <c r="V26" s="200" t="n"/>
      <c r="W26" s="200" t="n"/>
      <c r="X26" s="200" t="n"/>
    </row>
  </sheetData>
  <mergeCells count="8">
    <mergeCell ref="I1:L1"/>
    <mergeCell ref="N1:R1"/>
    <mergeCell ref="S1:U1"/>
    <mergeCell ref="B2:E2"/>
    <mergeCell ref="B3:C3"/>
    <mergeCell ref="D3:E3"/>
    <mergeCell ref="B12:C12"/>
    <mergeCell ref="D12:E12"/>
  </mergeCells>
  <dataValidations count="2">
    <dataValidation sqref="Q3:Q16" showErrorMessage="1" showDropDown="0" showInputMessage="1" allowBlank="1" type="list" errorStyle="stop" operator="between">
      <formula1>"Mat,Pat"</formula1>
      <formula2>0</formula2>
    </dataValidation>
    <dataValidation sqref="R3:R16" showErrorMessage="1" showDropDown="0" showInputMessage="1" allowBlank="1" type="list" errorStyle="stop" operator="between">
      <formula1>"Unaffected,Carrier,Affected,Abnormal,Not determined,Affected male,Unaffected male,Carrier female,Affected female,Unaffected female"</formula1>
      <formula2>0</formula2>
    </dataValidation>
  </dataValidations>
  <hyperlinks>
    <hyperlink xmlns:r="http://schemas.openxmlformats.org/officeDocument/2006/relationships" ref="A21" display="..\..\..\..\Current\PGD\pgd results\SNP array\Genotyping data from MSV &amp; ChAS detail view exports" r:id="rId1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4.xml><?xml version="1.0" encoding="utf-8"?>
<worksheet xmlns="http://schemas.openxmlformats.org/spreadsheetml/2006/main">
  <sheetPr filterMode="0">
    <outlinePr summaryBelow="1" summaryRight="1"/>
    <pageSetUpPr fitToPage="0"/>
  </sheetPr>
  <dimension ref="A1:V30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D38" activeCellId="0" sqref="D38"/>
    </sheetView>
  </sheetViews>
  <sheetFormatPr baseColWidth="8" defaultColWidth="8.5390625" defaultRowHeight="14.25" zeroHeight="0" outlineLevelRow="0"/>
  <cols>
    <col width="19.28" customWidth="1" style="132" min="1" max="1"/>
    <col width="18.28" customWidth="1" style="132" min="2" max="2"/>
    <col width="10.82" customWidth="1" style="132" min="4" max="4"/>
    <col width="13" customWidth="1" style="132" min="5" max="5"/>
    <col width="12" customWidth="1" style="132" min="7" max="7"/>
    <col width="18.28" customWidth="1" style="132" min="8" max="8"/>
    <col width="20.55" customWidth="1" style="132" min="9" max="9"/>
    <col width="20.28" customWidth="1" style="132" min="10" max="10"/>
    <col width="11.45" customWidth="1" style="132" min="11" max="11"/>
    <col width="20.55" customWidth="1" style="132" min="12" max="12"/>
    <col width="12.54" customWidth="1" style="132" min="13" max="13"/>
    <col width="61.27" customWidth="1" style="132" min="14" max="14"/>
    <col width="15.17" customWidth="1" style="132" min="15" max="15"/>
    <col width="12.54" customWidth="1" style="132" min="16" max="17"/>
    <col width="4.27" customWidth="1" style="132" min="18" max="18"/>
    <col width="12.54" customWidth="1" style="132" min="19" max="21"/>
    <col width="25.72" customWidth="1" style="132" min="22" max="22"/>
  </cols>
  <sheetData>
    <row r="1" ht="14.25" customHeight="1" s="133">
      <c r="A1" s="132" t="inlineStr">
        <is>
          <t>Autosomal_Dominant</t>
        </is>
      </c>
      <c r="B1" s="246" t="n">
        <v>1</v>
      </c>
      <c r="C1" s="132" t="inlineStr">
        <is>
          <t>Male</t>
        </is>
      </c>
      <c r="D1" s="132" t="inlineStr">
        <is>
          <t>Carrier (XL)</t>
        </is>
      </c>
      <c r="E1" s="132" t="inlineStr">
        <is>
          <t>grandfather</t>
        </is>
      </c>
      <c r="F1" s="132" t="inlineStr">
        <is>
          <t>maternal</t>
        </is>
      </c>
      <c r="H1" s="193" t="inlineStr">
        <is>
          <t>X-Linked</t>
        </is>
      </c>
      <c r="I1" s="193" t="inlineStr">
        <is>
          <t>Autosomal_Dominant</t>
        </is>
      </c>
      <c r="J1" s="193" t="inlineStr">
        <is>
          <t>Autosomal_Recessive</t>
        </is>
      </c>
      <c r="K1" s="132" t="inlineStr">
        <is>
          <t>Yes</t>
        </is>
      </c>
      <c r="L1" s="132" t="inlineStr">
        <is>
          <t>GRCh38</t>
        </is>
      </c>
      <c r="N1" s="247" t="inlineStr">
        <is>
          <t>Purpose</t>
        </is>
      </c>
      <c r="O1" s="247" t="inlineStr">
        <is>
          <t>Formula</t>
        </is>
      </c>
      <c r="P1" s="248" t="n"/>
      <c r="V1" s="132" t="inlineStr">
        <is>
          <t>biopsy_number</t>
        </is>
      </c>
    </row>
    <row r="2" ht="14.25" customHeight="1" s="133">
      <c r="A2" s="132" t="inlineStr">
        <is>
          <t>Autosomal_Recessive</t>
        </is>
      </c>
      <c r="B2" s="246" t="n">
        <v>2</v>
      </c>
      <c r="C2" s="132" t="inlineStr">
        <is>
          <t>Female</t>
        </is>
      </c>
      <c r="D2" s="132" t="inlineStr">
        <is>
          <t>Affected</t>
        </is>
      </c>
      <c r="E2" s="132" t="inlineStr">
        <is>
          <t>grandmother</t>
        </is>
      </c>
      <c r="F2" s="132" t="inlineStr">
        <is>
          <t>paternal</t>
        </is>
      </c>
      <c r="H2" s="249" t="n"/>
      <c r="I2" s="249" t="n"/>
      <c r="J2" s="249" t="n"/>
      <c r="K2" s="132" t="inlineStr">
        <is>
          <t>No</t>
        </is>
      </c>
      <c r="L2" s="132" t="inlineStr">
        <is>
          <t>GRCh37</t>
        </is>
      </c>
      <c r="N2" s="248" t="inlineStr">
        <is>
          <t>return permitted sex per mode of inheritance</t>
        </is>
      </c>
      <c r="O2" s="250">
        <f aca="true" t="array" ref="O2:O4">SUBSTITUTE(OFFSET(data_validation!$H$1,2, MATCH(data_entry!$B$3, data_validation!$H1:$J1,0)-1,3,1), 0, "")</f>
        <v/>
      </c>
      <c r="P2" s="248" t="n"/>
      <c r="V2" s="132" t="inlineStr">
        <is>
          <t>chromosome</t>
        </is>
      </c>
    </row>
    <row r="3" ht="14.25" customHeight="1" s="133">
      <c r="A3" s="132" t="inlineStr">
        <is>
          <t>X-Linked</t>
        </is>
      </c>
      <c r="B3" s="246" t="n">
        <v>3</v>
      </c>
      <c r="C3" s="132" t="inlineStr">
        <is>
          <t>Unknown</t>
        </is>
      </c>
      <c r="D3" s="132" t="inlineStr">
        <is>
          <t>Unaffected</t>
        </is>
      </c>
      <c r="E3" s="132" t="inlineStr">
        <is>
          <t>cousin</t>
        </is>
      </c>
      <c r="G3" s="251" t="inlineStr">
        <is>
          <t>Ref Sex</t>
        </is>
      </c>
      <c r="H3" s="193" t="inlineStr">
        <is>
          <t>Female</t>
        </is>
      </c>
      <c r="I3" s="193" t="inlineStr">
        <is>
          <t>Male</t>
        </is>
      </c>
      <c r="J3" s="193" t="inlineStr">
        <is>
          <t>Male</t>
        </is>
      </c>
      <c r="N3" s="248" t="n"/>
      <c r="O3" s="132" t="e">
        <v>#N/A</v>
      </c>
      <c r="P3" s="248" t="n"/>
      <c r="V3" s="132" t="inlineStr">
        <is>
          <t>consanguineous</t>
        </is>
      </c>
    </row>
    <row r="4" ht="14.25" customHeight="1" s="133">
      <c r="B4" s="246" t="n">
        <v>4</v>
      </c>
      <c r="E4" s="132" t="inlineStr">
        <is>
          <t>uncle</t>
        </is>
      </c>
      <c r="H4" s="193" t="inlineStr">
        <is>
          <t>Male</t>
        </is>
      </c>
      <c r="I4" s="193" t="inlineStr">
        <is>
          <t>Female</t>
        </is>
      </c>
      <c r="J4" s="193" t="inlineStr">
        <is>
          <t>Female</t>
        </is>
      </c>
      <c r="L4" s="252">
        <f>data_entry!B3</f>
        <v/>
      </c>
      <c r="M4" s="132" t="inlineStr">
        <is>
          <t>--&gt;</t>
        </is>
      </c>
      <c r="N4" s="248" t="n"/>
      <c r="O4" s="132" t="e">
        <v>#N/A</v>
      </c>
      <c r="P4" s="248" t="n"/>
      <c r="V4" s="132" t="inlineStr">
        <is>
          <t>de_novo</t>
        </is>
      </c>
    </row>
    <row r="5" ht="14.25" customHeight="1" s="133">
      <c r="B5" s="246" t="n">
        <v>5</v>
      </c>
      <c r="E5" s="132" t="inlineStr">
        <is>
          <t>aunt</t>
        </is>
      </c>
      <c r="H5" s="193" t="n"/>
      <c r="I5" s="193" t="inlineStr">
        <is>
          <t>Unknown</t>
        </is>
      </c>
      <c r="J5" s="193" t="inlineStr">
        <is>
          <t>Unknown</t>
        </is>
      </c>
      <c r="N5" s="248" t="n"/>
      <c r="P5" s="248" t="n"/>
      <c r="V5" s="132" t="inlineStr">
        <is>
          <t>disease</t>
        </is>
      </c>
    </row>
    <row r="6" ht="14.25" customHeight="1" s="133">
      <c r="B6" s="246" t="n">
        <v>6</v>
      </c>
      <c r="N6" s="253" t="inlineStr">
        <is>
          <t>reference status</t>
        </is>
      </c>
      <c r="O6" s="250">
        <f aca="true" t="array" ref="O6:O7">SUBSTITUTE(OFFSET(data_validation!$H$1,6, MATCH(data_entry!$B$3, data_validation!$H1:$J1,0)-1,2,1), 0, "")</f>
        <v/>
      </c>
      <c r="P6" s="248" t="n"/>
      <c r="V6" s="132" t="inlineStr">
        <is>
          <t>disease_omim</t>
        </is>
      </c>
    </row>
    <row r="7" ht="14.25" customHeight="1" s="133">
      <c r="B7" s="246" t="n">
        <v>7</v>
      </c>
      <c r="G7" s="251" t="inlineStr">
        <is>
          <t>Status</t>
        </is>
      </c>
      <c r="H7" s="254" t="inlineStr">
        <is>
          <t>Carrier(XL)</t>
        </is>
      </c>
      <c r="I7" s="254" t="inlineStr">
        <is>
          <t>Affected</t>
        </is>
      </c>
      <c r="J7" s="254" t="inlineStr">
        <is>
          <t>Affected</t>
        </is>
      </c>
      <c r="O7" s="132" t="e">
        <v>#N/A</v>
      </c>
      <c r="P7" s="248" t="n"/>
      <c r="V7" s="132" t="inlineStr">
        <is>
          <t>embryo_data</t>
        </is>
      </c>
    </row>
    <row r="8" ht="14.25" customHeight="1" s="133">
      <c r="B8" s="246" t="n">
        <v>8</v>
      </c>
      <c r="H8" s="254" t="inlineStr">
        <is>
          <t>Affected</t>
        </is>
      </c>
      <c r="I8" s="254" t="inlineStr">
        <is>
          <t>Unaffected</t>
        </is>
      </c>
      <c r="J8" s="254" t="inlineStr">
        <is>
          <t>Unaffected</t>
        </is>
      </c>
      <c r="N8" s="248" t="n"/>
      <c r="P8" s="248" t="n"/>
      <c r="V8" s="132" t="inlineStr">
        <is>
          <t>exclusion</t>
        </is>
      </c>
    </row>
    <row r="9" ht="14.25" customHeight="1" s="133">
      <c r="B9" s="246" t="n">
        <v>9</v>
      </c>
      <c r="H9" s="254" t="inlineStr">
        <is>
          <t xml:space="preserve">Unaffected </t>
        </is>
      </c>
      <c r="I9" s="254" t="n"/>
      <c r="J9" s="254" t="n"/>
      <c r="N9" s="255" t="inlineStr">
        <is>
          <t>Relation</t>
        </is>
      </c>
      <c r="O9" s="250">
        <f aca="true" t="array" ref="O9:O13">SUBSTITUTE(OFFSET(data_validation!$H$1,9, MATCH(data_entry!$B$3, data_validation!$H1:$J1,0)-1,5,1), 0, "")</f>
        <v/>
      </c>
      <c r="P9" s="248" t="n"/>
      <c r="V9" s="132" t="inlineStr">
        <is>
          <t>female_partner_hosp_num</t>
        </is>
      </c>
    </row>
    <row r="10" ht="14.25" customHeight="1" s="133">
      <c r="B10" s="246" t="n">
        <v>10</v>
      </c>
      <c r="G10" s="251" t="inlineStr">
        <is>
          <t>Relation</t>
        </is>
      </c>
      <c r="H10" s="256" t="inlineStr">
        <is>
          <t>Father</t>
        </is>
      </c>
      <c r="I10" s="256" t="inlineStr">
        <is>
          <t>Father</t>
        </is>
      </c>
      <c r="J10" s="256" t="inlineStr">
        <is>
          <t>Son</t>
        </is>
      </c>
      <c r="O10" s="132" t="e">
        <v>#N/A</v>
      </c>
      <c r="P10" s="248" t="n"/>
      <c r="V10" s="132" t="inlineStr">
        <is>
          <t>gene</t>
        </is>
      </c>
    </row>
    <row r="11" ht="14.25" customHeight="1" s="133">
      <c r="B11" s="246" t="n">
        <v>11</v>
      </c>
      <c r="H11" s="256" t="inlineStr">
        <is>
          <t>Mother</t>
        </is>
      </c>
      <c r="I11" s="256" t="inlineStr">
        <is>
          <t>Mother</t>
        </is>
      </c>
      <c r="J11" s="256" t="inlineStr">
        <is>
          <t>Daughter</t>
        </is>
      </c>
      <c r="O11" s="132" t="e">
        <v>#N/A</v>
      </c>
      <c r="P11" s="248" t="n"/>
      <c r="V11" s="132" t="inlineStr">
        <is>
          <t>gene_end</t>
        </is>
      </c>
    </row>
    <row r="12" ht="14.25" customHeight="1" s="133">
      <c r="B12" s="246" t="n">
        <v>12</v>
      </c>
      <c r="H12" s="256" t="inlineStr">
        <is>
          <t>Son</t>
        </is>
      </c>
      <c r="I12" s="256" t="inlineStr">
        <is>
          <t>Son</t>
        </is>
      </c>
      <c r="J12" s="256" t="inlineStr">
        <is>
          <t>Embryo</t>
        </is>
      </c>
      <c r="O12" s="132" t="e">
        <v>#N/A</v>
      </c>
      <c r="P12" s="248" t="n"/>
      <c r="V12" s="132" t="inlineStr">
        <is>
          <t>gene_omim</t>
        </is>
      </c>
    </row>
    <row r="13" ht="14.25" customHeight="1" s="133">
      <c r="B13" s="246" t="n">
        <v>13</v>
      </c>
      <c r="H13" s="256" t="inlineStr">
        <is>
          <t>Daughter</t>
        </is>
      </c>
      <c r="I13" s="256" t="inlineStr">
        <is>
          <t>Daughter</t>
        </is>
      </c>
      <c r="J13" s="256" t="inlineStr">
        <is>
          <t>Prenatal</t>
        </is>
      </c>
      <c r="O13" s="132" t="e">
        <v>#N/A</v>
      </c>
      <c r="P13" s="248" t="n"/>
      <c r="V13" s="132" t="inlineStr">
        <is>
          <t>gene_start</t>
        </is>
      </c>
    </row>
    <row r="14" ht="14.25" customHeight="1" s="133">
      <c r="B14" s="246" t="n">
        <v>14</v>
      </c>
      <c r="H14" s="256" t="inlineStr">
        <is>
          <t>Embryo</t>
        </is>
      </c>
      <c r="I14" s="256" t="inlineStr">
        <is>
          <t>Embryo</t>
        </is>
      </c>
      <c r="J14" s="256" t="n"/>
      <c r="N14" s="248" t="n"/>
      <c r="P14" s="248" t="n"/>
      <c r="V14" s="132" t="inlineStr">
        <is>
          <t>input_file</t>
        </is>
      </c>
    </row>
    <row r="15" ht="14.25" customHeight="1" s="133">
      <c r="B15" s="246" t="n">
        <v>15</v>
      </c>
      <c r="H15" s="256" t="inlineStr">
        <is>
          <t>Prenatal</t>
        </is>
      </c>
      <c r="I15" s="256" t="inlineStr">
        <is>
          <t>Prenatal</t>
        </is>
      </c>
      <c r="J15" s="256" t="n"/>
      <c r="N15" s="257" t="inlineStr">
        <is>
          <t>Relationship</t>
        </is>
      </c>
      <c r="O15" s="250">
        <f aca="true" t="array" ref="O15:O17">SUBSTITUTE(OFFSET(data_validation!$H$1,15, MATCH(data_entry!$B$3, data_validation!$H1:$J1,0)-1,3,1), 0, "")</f>
        <v/>
      </c>
      <c r="P15" s="248" t="n"/>
      <c r="V15" s="132" t="inlineStr">
        <is>
          <t>maternal_mutation</t>
        </is>
      </c>
    </row>
    <row r="16" ht="14.25" customHeight="1" s="133">
      <c r="B16" s="246" t="n">
        <v>16</v>
      </c>
      <c r="G16" s="251" t="inlineStr">
        <is>
          <t>Relationship</t>
        </is>
      </c>
      <c r="H16" s="132" t="inlineStr">
        <is>
          <t>female_partner</t>
        </is>
      </c>
      <c r="I16" s="132" t="inlineStr">
        <is>
          <t>female_partner</t>
        </is>
      </c>
      <c r="J16" s="132" t="inlineStr">
        <is>
          <t>both</t>
        </is>
      </c>
      <c r="O16" s="132" t="e">
        <v>#N/A</v>
      </c>
      <c r="P16" s="248" t="n"/>
      <c r="V16" s="132" t="inlineStr">
        <is>
          <t>mode_of_inheritance</t>
        </is>
      </c>
    </row>
    <row r="17" ht="14.25" customHeight="1" s="133">
      <c r="B17" s="246" t="n">
        <v>17</v>
      </c>
      <c r="H17" s="132" t="inlineStr">
        <is>
          <t>both</t>
        </is>
      </c>
      <c r="I17" s="132" t="inlineStr">
        <is>
          <t>male_partner</t>
        </is>
      </c>
      <c r="O17" s="132" t="e">
        <v>#N/A</v>
      </c>
      <c r="P17" s="248" t="n"/>
      <c r="V17" s="132" t="inlineStr">
        <is>
          <t>mult_analysis</t>
        </is>
      </c>
    </row>
    <row r="18" ht="14.25" customHeight="1" s="133">
      <c r="B18" s="246" t="n">
        <v>18</v>
      </c>
      <c r="I18" s="132" t="inlineStr">
        <is>
          <t>both</t>
        </is>
      </c>
      <c r="N18" s="255" t="n"/>
      <c r="O18" s="248" t="n"/>
      <c r="P18" s="248" t="n"/>
      <c r="V18" s="132" t="inlineStr">
        <is>
          <t>partner_details</t>
        </is>
      </c>
    </row>
    <row r="19" ht="14.25" customHeight="1" s="133">
      <c r="B19" s="246" t="n">
        <v>19</v>
      </c>
      <c r="G19" s="258" t="n"/>
      <c r="V19" s="132" t="inlineStr">
        <is>
          <t>paste_gene</t>
        </is>
      </c>
    </row>
    <row r="20" ht="14.25" customHeight="1" s="133">
      <c r="B20" s="246" t="n">
        <v>20</v>
      </c>
      <c r="V20" s="132" t="inlineStr">
        <is>
          <t>paternal_mutation</t>
        </is>
      </c>
    </row>
    <row r="21" ht="14.25" customHeight="1" s="133">
      <c r="B21" s="246" t="n">
        <v>21</v>
      </c>
      <c r="V21" s="132" t="inlineStr">
        <is>
          <t>pgd_worksheet</t>
        </is>
      </c>
    </row>
    <row r="22" ht="14.25" customHeight="1" s="133">
      <c r="B22" s="246" t="n">
        <v>22</v>
      </c>
      <c r="M22" s="249" t="inlineStr">
        <is>
          <t xml:space="preserve">AR </t>
        </is>
      </c>
      <c r="N22" s="249" t="n"/>
      <c r="O22" s="249" t="inlineStr">
        <is>
          <t>AD</t>
        </is>
      </c>
      <c r="P22" s="249" t="n"/>
      <c r="Q22" s="249" t="n"/>
      <c r="R22" s="249" t="n"/>
      <c r="S22" s="249" t="inlineStr">
        <is>
          <t>x-linked</t>
        </is>
      </c>
      <c r="V22" s="132" t="inlineStr">
        <is>
          <t>pgd_worksheet_denovo</t>
        </is>
      </c>
    </row>
    <row r="23" ht="14.25" customHeight="1" s="133">
      <c r="B23" s="246" t="inlineStr">
        <is>
          <t>X</t>
        </is>
      </c>
      <c r="M23" s="181" t="inlineStr">
        <is>
          <t>Never unknown for partners sex</t>
        </is>
      </c>
      <c r="N23" s="181" t="n"/>
      <c r="O23" s="181" t="inlineStr">
        <is>
          <t>Never unknown for partners sex</t>
        </is>
      </c>
      <c r="P23" s="181" t="n"/>
      <c r="Q23" s="181" t="n"/>
      <c r="R23" s="181" t="n"/>
      <c r="S23" s="181" t="inlineStr">
        <is>
          <t>Never unknown for partners sex</t>
        </is>
      </c>
      <c r="T23" s="181" t="n"/>
      <c r="V23" s="132" t="inlineStr">
        <is>
          <t>pru</t>
        </is>
      </c>
    </row>
    <row r="24" ht="14.25" customHeight="1" s="133">
      <c r="B24" s="246" t="inlineStr">
        <is>
          <t>Y</t>
        </is>
      </c>
      <c r="M24" s="181" t="inlineStr">
        <is>
          <t>Reference - AR - will never be carrier</t>
        </is>
      </c>
      <c r="N24" s="181" t="n"/>
      <c r="O24" s="181" t="inlineStr">
        <is>
          <t>Reference - AD - will never be carrier</t>
        </is>
      </c>
      <c r="P24" s="181" t="n"/>
      <c r="Q24" s="181" t="n"/>
      <c r="R24" s="181" t="n"/>
      <c r="S24" s="181" t="inlineStr">
        <is>
          <t>Reference - always to the carrier female</t>
        </is>
      </c>
      <c r="T24" s="181" t="n"/>
      <c r="V24" s="132" t="inlineStr">
        <is>
          <t>ref_relationship</t>
        </is>
      </c>
    </row>
    <row r="25" ht="14.25" customHeight="1" s="133">
      <c r="M25" s="181" t="inlineStr">
        <is>
          <t>AR - reference - always a child/prenatal</t>
        </is>
      </c>
      <c r="N25" s="181" t="n"/>
      <c r="O25" s="181" t="inlineStr">
        <is>
          <t>Relationship to affected partner</t>
        </is>
      </c>
      <c r="P25" s="181" t="inlineStr">
        <is>
          <t>father</t>
        </is>
      </c>
      <c r="S25" s="181" t="inlineStr">
        <is>
          <t>Relationship to affected partner</t>
        </is>
      </c>
      <c r="T25" s="181" t="inlineStr">
        <is>
          <t>father</t>
        </is>
      </c>
      <c r="V25" s="132" t="inlineStr">
        <is>
          <t>ref_relationship_to_couple</t>
        </is>
      </c>
    </row>
    <row r="26" ht="14.25" customHeight="1" s="133">
      <c r="M26" s="181" t="inlineStr">
        <is>
          <t>AR reference always child - dropdown child/prenatal/embryo</t>
        </is>
      </c>
      <c r="N26" s="181" t="n"/>
      <c r="O26" s="181" t="n"/>
      <c r="P26" s="181" t="inlineStr">
        <is>
          <t>mother</t>
        </is>
      </c>
      <c r="S26" s="181" t="n"/>
      <c r="T26" s="181" t="inlineStr">
        <is>
          <t>mother</t>
        </is>
      </c>
      <c r="V26" s="132" t="inlineStr">
        <is>
          <t>ref_seq</t>
        </is>
      </c>
    </row>
    <row r="27" ht="14.25" customHeight="1" s="133">
      <c r="M27" s="132" t="inlineStr">
        <is>
          <t>Maternal/Paternal always child so not required</t>
        </is>
      </c>
      <c r="O27" s="181" t="n"/>
      <c r="P27" s="181" t="inlineStr">
        <is>
          <t>son</t>
        </is>
      </c>
      <c r="S27" s="181" t="n"/>
      <c r="T27" s="181" t="inlineStr">
        <is>
          <t>son</t>
        </is>
      </c>
      <c r="V27" s="132" t="inlineStr">
        <is>
          <t>ref_status</t>
        </is>
      </c>
    </row>
    <row r="28" ht="14.25" customHeight="1" s="133">
      <c r="O28" s="181" t="n"/>
      <c r="P28" s="181" t="inlineStr">
        <is>
          <t>daughter</t>
        </is>
      </c>
      <c r="S28" s="132" t="inlineStr">
        <is>
          <t>Maternal - reference always Mat</t>
        </is>
      </c>
      <c r="V28" s="132" t="inlineStr">
        <is>
          <t>reference</t>
        </is>
      </c>
    </row>
    <row r="29" ht="14.25" customHeight="1" s="133">
      <c r="O29" s="181" t="n"/>
      <c r="P29" s="181" t="inlineStr">
        <is>
          <t>embryo</t>
        </is>
      </c>
    </row>
    <row r="30" ht="14.25" customHeight="1" s="133">
      <c r="O30" s="181" t="inlineStr">
        <is>
          <t>Add box for Exclusion</t>
        </is>
      </c>
      <c r="P30" s="181" t="n"/>
    </row>
  </sheetData>
  <mergeCells count="7">
    <mergeCell ref="G3:G5"/>
    <mergeCell ref="N6:N7"/>
    <mergeCell ref="G7:G9"/>
    <mergeCell ref="N9:N13"/>
    <mergeCell ref="G10:G15"/>
    <mergeCell ref="N15:N17"/>
    <mergeCell ref="G16:G18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Smith Graeme</dc:creator>
  <dc:language xmlns:dc="http://purl.org/dc/elements/1.1/">en-GB</dc:language>
  <dcterms:created xmlns:dcterms="http://purl.org/dc/terms/" xmlns:xsi="http://www.w3.org/2001/XMLSchema-instance" xsi:type="dcterms:W3CDTF">2022-03-11T11:50:08Z</dcterms:created>
  <dcterms:modified xmlns:dcterms="http://purl.org/dc/terms/" xmlns:xsi="http://www.w3.org/2001/XMLSchema-instance" xsi:type="dcterms:W3CDTF">2022-12-12T10:04:20Z</dcterms:modified>
  <cp:lastModifiedBy>Hewitson Heema (Nee Patel)</cp:lastModifiedBy>
  <cp:revision>0</cp:revision>
</cp:coreProperties>
</file>